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ult\OneDrive - Texas State University\Courses &amp; Syllabi\CUNY\Data 605\"/>
    </mc:Choice>
  </mc:AlternateContent>
  <xr:revisionPtr revIDLastSave="2878" documentId="13_ncr:40009_{3A3F5A68-77DF-4B4C-9E1E-784EEDB57FE0}" xr6:coauthVersionLast="45" xr6:coauthVersionMax="45" xr10:uidLastSave="{2F929EB8-19F0-44FB-9845-50E62002215B}"/>
  <bookViews>
    <workbookView xWindow="-96" yWindow="-96" windowWidth="23232" windowHeight="12552" xr2:uid="{00000000-000D-0000-FFFF-FFFF00000000}"/>
  </bookViews>
  <sheets>
    <sheet name="Transformations" sheetId="1" r:id="rId1"/>
    <sheet name="Time Plo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4" i="1"/>
  <c r="L5" i="1"/>
  <c r="L4" i="1"/>
  <c r="L3" i="2"/>
  <c r="O19" i="2"/>
  <c r="H19" i="2" s="1"/>
  <c r="O20" i="2"/>
  <c r="H20" i="2" s="1"/>
  <c r="O21" i="2"/>
  <c r="H21" i="2" s="1"/>
  <c r="O23" i="2"/>
  <c r="H23" i="2" s="1"/>
  <c r="O54" i="2"/>
  <c r="H54" i="2" s="1"/>
  <c r="O56" i="2"/>
  <c r="H56" i="2" s="1"/>
  <c r="O74" i="2"/>
  <c r="H74" i="2" s="1"/>
  <c r="O79" i="2"/>
  <c r="H79" i="2" s="1"/>
  <c r="O80" i="2"/>
  <c r="H80" i="2" s="1"/>
  <c r="O81" i="2"/>
  <c r="H81" i="2" s="1"/>
  <c r="O91" i="2"/>
  <c r="H91" i="2" s="1"/>
  <c r="O93" i="2"/>
  <c r="H93" i="2" s="1"/>
  <c r="O97" i="2"/>
  <c r="H97" i="2" s="1"/>
  <c r="O99" i="2"/>
  <c r="H99" i="2" s="1"/>
  <c r="O100" i="2"/>
  <c r="H100" i="2" s="1"/>
  <c r="O101" i="2"/>
  <c r="H101" i="2" s="1"/>
  <c r="O102" i="2"/>
  <c r="H102" i="2" s="1"/>
  <c r="O103" i="2"/>
  <c r="H103" i="2" s="1"/>
  <c r="O122" i="2"/>
  <c r="H122" i="2" s="1"/>
  <c r="O129" i="2"/>
  <c r="H129" i="2" s="1"/>
  <c r="O130" i="2"/>
  <c r="H130" i="2" s="1"/>
  <c r="O131" i="2"/>
  <c r="H131" i="2" s="1"/>
  <c r="O136" i="2"/>
  <c r="H136" i="2" s="1"/>
  <c r="O137" i="2"/>
  <c r="H137" i="2" s="1"/>
  <c r="O143" i="2"/>
  <c r="H143" i="2" s="1"/>
  <c r="O153" i="2"/>
  <c r="H153" i="2" s="1"/>
  <c r="O154" i="2"/>
  <c r="H154" i="2" s="1"/>
  <c r="O155" i="2"/>
  <c r="H155" i="2" s="1"/>
  <c r="O156" i="2"/>
  <c r="H156" i="2" s="1"/>
  <c r="O162" i="2"/>
  <c r="H162" i="2" s="1"/>
  <c r="O163" i="2"/>
  <c r="H163" i="2" s="1"/>
  <c r="O164" i="2"/>
  <c r="H164" i="2" s="1"/>
  <c r="O166" i="2"/>
  <c r="H166" i="2" s="1"/>
  <c r="O167" i="2"/>
  <c r="H167" i="2" s="1"/>
  <c r="O169" i="2"/>
  <c r="H169" i="2" s="1"/>
  <c r="O170" i="2"/>
  <c r="H170" i="2" s="1"/>
  <c r="O174" i="2"/>
  <c r="H174" i="2" s="1"/>
  <c r="O175" i="2"/>
  <c r="H175" i="2" s="1"/>
  <c r="O176" i="2"/>
  <c r="H176" i="2" s="1"/>
  <c r="O177" i="2"/>
  <c r="H177" i="2" s="1"/>
  <c r="O178" i="2"/>
  <c r="H178" i="2" s="1"/>
  <c r="O179" i="2"/>
  <c r="H179" i="2" s="1"/>
  <c r="O185" i="2"/>
  <c r="H185" i="2"/>
  <c r="O186" i="2"/>
  <c r="H186" i="2" s="1"/>
  <c r="O187" i="2"/>
  <c r="H187" i="2" s="1"/>
  <c r="O188" i="2"/>
  <c r="H188" i="2" s="1"/>
  <c r="O189" i="2"/>
  <c r="H189" i="2" s="1"/>
  <c r="O190" i="2"/>
  <c r="H190" i="2" s="1"/>
  <c r="O191" i="2"/>
  <c r="H191" i="2" s="1"/>
  <c r="O192" i="2"/>
  <c r="H192" i="2" s="1"/>
  <c r="O193" i="2"/>
  <c r="H193" i="2" s="1"/>
  <c r="O194" i="2"/>
  <c r="H194" i="2" s="1"/>
  <c r="O195" i="2"/>
  <c r="H195" i="2" s="1"/>
  <c r="O196" i="2"/>
  <c r="H196" i="2" s="1"/>
  <c r="O197" i="2"/>
  <c r="H197" i="2" s="1"/>
  <c r="O198" i="2"/>
  <c r="H198" i="2" s="1"/>
  <c r="O199" i="2"/>
  <c r="H199" i="2" s="1"/>
  <c r="M3" i="2"/>
  <c r="F3" i="2" s="1"/>
  <c r="N3" i="2"/>
  <c r="G3" i="2" s="1"/>
  <c r="N161" i="2"/>
  <c r="G161" i="2" s="1"/>
  <c r="N160" i="2"/>
  <c r="G160" i="2" s="1"/>
  <c r="N159" i="2"/>
  <c r="G159" i="2" s="1"/>
  <c r="N158" i="2"/>
  <c r="G158" i="2" s="1"/>
  <c r="N157" i="2"/>
  <c r="G157" i="2" s="1"/>
  <c r="N148" i="2"/>
  <c r="G148" i="2" s="1"/>
  <c r="N147" i="2"/>
  <c r="G147" i="2" s="1"/>
  <c r="N146" i="2"/>
  <c r="G146" i="2" s="1"/>
  <c r="N145" i="2"/>
  <c r="G145" i="2" s="1"/>
  <c r="N144" i="2"/>
  <c r="G144" i="2" s="1"/>
  <c r="N142" i="2"/>
  <c r="G142" i="2" s="1"/>
  <c r="N141" i="2"/>
  <c r="G141" i="2" s="1"/>
  <c r="N140" i="2"/>
  <c r="G140" i="2" s="1"/>
  <c r="N139" i="2"/>
  <c r="G139" i="2" s="1"/>
  <c r="N138" i="2"/>
  <c r="G138" i="2" s="1"/>
  <c r="N134" i="2"/>
  <c r="G134" i="2" s="1"/>
  <c r="N133" i="2"/>
  <c r="G133" i="2" s="1"/>
  <c r="N132" i="2"/>
  <c r="G132" i="2" s="1"/>
  <c r="N128" i="2"/>
  <c r="G128" i="2" s="1"/>
  <c r="N127" i="2"/>
  <c r="G127" i="2" s="1"/>
  <c r="N126" i="2"/>
  <c r="G126" i="2" s="1"/>
  <c r="N125" i="2"/>
  <c r="G125" i="2" s="1"/>
  <c r="N124" i="2"/>
  <c r="G124" i="2" s="1"/>
  <c r="N121" i="2"/>
  <c r="G121" i="2" s="1"/>
  <c r="N88" i="2"/>
  <c r="G88" i="2" s="1"/>
  <c r="N86" i="2"/>
  <c r="G86" i="2" s="1"/>
  <c r="N72" i="2"/>
  <c r="G72" i="2" s="1"/>
  <c r="N70" i="2"/>
  <c r="G70" i="2" s="1"/>
  <c r="N69" i="2"/>
  <c r="G69" i="2" s="1"/>
  <c r="N68" i="2"/>
  <c r="G68" i="2" s="1"/>
  <c r="N67" i="2"/>
  <c r="G67" i="2" s="1"/>
  <c r="N62" i="2"/>
  <c r="G62" i="2" s="1"/>
  <c r="N58" i="2"/>
  <c r="G58" i="2" s="1"/>
  <c r="N55" i="2"/>
  <c r="G55" i="2" s="1"/>
  <c r="N53" i="2"/>
  <c r="G53" i="2" s="1"/>
  <c r="N52" i="2"/>
  <c r="G52" i="2" s="1"/>
  <c r="N51" i="2"/>
  <c r="G51" i="2" s="1"/>
  <c r="N50" i="2"/>
  <c r="G50" i="2" s="1"/>
  <c r="N49" i="2"/>
  <c r="G49" i="2" s="1"/>
  <c r="N48" i="2"/>
  <c r="G48" i="2" s="1"/>
  <c r="N47" i="2"/>
  <c r="G47" i="2" s="1"/>
  <c r="N46" i="2"/>
  <c r="G46" i="2" s="1"/>
  <c r="N45" i="2"/>
  <c r="G45" i="2" s="1"/>
  <c r="N44" i="2"/>
  <c r="G44" i="2" s="1"/>
  <c r="N43" i="2"/>
  <c r="G43" i="2" s="1"/>
  <c r="N41" i="2"/>
  <c r="G41" i="2" s="1"/>
  <c r="N40" i="2"/>
  <c r="G40" i="2" s="1"/>
  <c r="N39" i="2"/>
  <c r="G39" i="2" s="1"/>
  <c r="N38" i="2"/>
  <c r="G38" i="2" s="1"/>
  <c r="N37" i="2"/>
  <c r="G37" i="2" s="1"/>
  <c r="N36" i="2"/>
  <c r="G36" i="2" s="1"/>
  <c r="N35" i="2"/>
  <c r="G35" i="2" s="1"/>
  <c r="N34" i="2"/>
  <c r="G34" i="2" s="1"/>
  <c r="N33" i="2"/>
  <c r="G33" i="2" s="1"/>
  <c r="N32" i="2"/>
  <c r="G32" i="2" s="1"/>
  <c r="N31" i="2"/>
  <c r="G31" i="2" s="1"/>
  <c r="N30" i="2"/>
  <c r="G30" i="2" s="1"/>
  <c r="N29" i="2"/>
  <c r="G29" i="2" s="1"/>
  <c r="N28" i="2"/>
  <c r="G28" i="2" s="1"/>
  <c r="N27" i="2"/>
  <c r="G27" i="2" s="1"/>
  <c r="N26" i="2"/>
  <c r="G26" i="2" s="1"/>
  <c r="N25" i="2"/>
  <c r="G25" i="2" s="1"/>
  <c r="N24" i="2"/>
  <c r="G24" i="2" s="1"/>
  <c r="N22" i="2"/>
  <c r="G22" i="2" s="1"/>
  <c r="N18" i="2"/>
  <c r="G18" i="2" s="1"/>
  <c r="N17" i="2"/>
  <c r="G17" i="2" s="1"/>
  <c r="N16" i="2"/>
  <c r="G16" i="2" s="1"/>
  <c r="N15" i="2"/>
  <c r="G15" i="2" s="1"/>
  <c r="N14" i="2"/>
  <c r="G14" i="2" s="1"/>
  <c r="N13" i="2"/>
  <c r="G13" i="2" s="1"/>
  <c r="N12" i="2"/>
  <c r="G12" i="2" s="1"/>
  <c r="N11" i="2"/>
  <c r="G11" i="2" s="1"/>
  <c r="N10" i="2"/>
  <c r="G10" i="2" s="1"/>
  <c r="N9" i="2"/>
  <c r="G9" i="2"/>
  <c r="N8" i="2"/>
  <c r="G8" i="2" s="1"/>
  <c r="N7" i="2"/>
  <c r="G7" i="2" s="1"/>
  <c r="N6" i="2"/>
  <c r="G6" i="2" s="1"/>
  <c r="N5" i="2"/>
  <c r="G5" i="2" s="1"/>
  <c r="N4" i="2"/>
  <c r="G4" i="2" s="1"/>
  <c r="M199" i="2"/>
  <c r="F199" i="2" s="1"/>
  <c r="M198" i="2"/>
  <c r="F198" i="2"/>
  <c r="M197" i="2"/>
  <c r="F197" i="2" s="1"/>
  <c r="M196" i="2"/>
  <c r="F196" i="2" s="1"/>
  <c r="M195" i="2"/>
  <c r="F195" i="2" s="1"/>
  <c r="M194" i="2"/>
  <c r="F194" i="2" s="1"/>
  <c r="M193" i="2"/>
  <c r="F193" i="2" s="1"/>
  <c r="M192" i="2"/>
  <c r="F192" i="2" s="1"/>
  <c r="M191" i="2"/>
  <c r="F191" i="2" s="1"/>
  <c r="M190" i="2"/>
  <c r="F190" i="2" s="1"/>
  <c r="M189" i="2"/>
  <c r="F189" i="2" s="1"/>
  <c r="M188" i="2"/>
  <c r="F188" i="2" s="1"/>
  <c r="M187" i="2"/>
  <c r="F187" i="2" s="1"/>
  <c r="M186" i="2"/>
  <c r="F186" i="2" s="1"/>
  <c r="M185" i="2"/>
  <c r="F185" i="2" s="1"/>
  <c r="P184" i="2"/>
  <c r="I184" i="2" s="1"/>
  <c r="M184" i="2"/>
  <c r="F184" i="2" s="1"/>
  <c r="P183" i="2"/>
  <c r="I183" i="2" s="1"/>
  <c r="M183" i="2"/>
  <c r="F183" i="2" s="1"/>
  <c r="P182" i="2"/>
  <c r="I182" i="2" s="1"/>
  <c r="M182" i="2"/>
  <c r="F182" i="2" s="1"/>
  <c r="P181" i="2"/>
  <c r="I181" i="2" s="1"/>
  <c r="M181" i="2"/>
  <c r="F181" i="2" s="1"/>
  <c r="P180" i="2"/>
  <c r="I180" i="2" s="1"/>
  <c r="M180" i="2"/>
  <c r="F180" i="2" s="1"/>
  <c r="M179" i="2"/>
  <c r="F179" i="2" s="1"/>
  <c r="M178" i="2"/>
  <c r="F178" i="2" s="1"/>
  <c r="M177" i="2"/>
  <c r="F177" i="2" s="1"/>
  <c r="M176" i="2"/>
  <c r="F176" i="2" s="1"/>
  <c r="M175" i="2"/>
  <c r="F175" i="2" s="1"/>
  <c r="M174" i="2"/>
  <c r="F174" i="2" s="1"/>
  <c r="P173" i="2"/>
  <c r="I173" i="2" s="1"/>
  <c r="M173" i="2"/>
  <c r="F173" i="2" s="1"/>
  <c r="P172" i="2"/>
  <c r="I172" i="2" s="1"/>
  <c r="M172" i="2"/>
  <c r="F172" i="2" s="1"/>
  <c r="P171" i="2"/>
  <c r="I171" i="2" s="1"/>
  <c r="M171" i="2"/>
  <c r="F171" i="2" s="1"/>
  <c r="M170" i="2"/>
  <c r="F170" i="2" s="1"/>
  <c r="M169" i="2"/>
  <c r="F169" i="2" s="1"/>
  <c r="P168" i="2"/>
  <c r="I168" i="2" s="1"/>
  <c r="M168" i="2"/>
  <c r="F168" i="2" s="1"/>
  <c r="M167" i="2"/>
  <c r="F167" i="2" s="1"/>
  <c r="M166" i="2"/>
  <c r="F166" i="2" s="1"/>
  <c r="P165" i="2"/>
  <c r="I165" i="2" s="1"/>
  <c r="M165" i="2"/>
  <c r="F165" i="2" s="1"/>
  <c r="M164" i="2"/>
  <c r="F164" i="2" s="1"/>
  <c r="M163" i="2"/>
  <c r="F163" i="2" s="1"/>
  <c r="M162" i="2"/>
  <c r="F162" i="2" s="1"/>
  <c r="M161" i="2"/>
  <c r="F161" i="2" s="1"/>
  <c r="M160" i="2"/>
  <c r="F160" i="2" s="1"/>
  <c r="M159" i="2"/>
  <c r="F159" i="2" s="1"/>
  <c r="M158" i="2"/>
  <c r="F158" i="2" s="1"/>
  <c r="M157" i="2"/>
  <c r="F157" i="2" s="1"/>
  <c r="M156" i="2"/>
  <c r="F156" i="2" s="1"/>
  <c r="M155" i="2"/>
  <c r="F155" i="2" s="1"/>
  <c r="M154" i="2"/>
  <c r="F154" i="2" s="1"/>
  <c r="M153" i="2"/>
  <c r="F153" i="2" s="1"/>
  <c r="P152" i="2"/>
  <c r="I152" i="2" s="1"/>
  <c r="M152" i="2"/>
  <c r="F152" i="2" s="1"/>
  <c r="P151" i="2"/>
  <c r="I151" i="2" s="1"/>
  <c r="M151" i="2"/>
  <c r="F151" i="2" s="1"/>
  <c r="P150" i="2"/>
  <c r="I150" i="2" s="1"/>
  <c r="M150" i="2"/>
  <c r="F150" i="2" s="1"/>
  <c r="P149" i="2"/>
  <c r="I149" i="2" s="1"/>
  <c r="M149" i="2"/>
  <c r="F149" i="2" s="1"/>
  <c r="M148" i="2"/>
  <c r="F148" i="2" s="1"/>
  <c r="M147" i="2"/>
  <c r="F147" i="2" s="1"/>
  <c r="M146" i="2"/>
  <c r="F146" i="2" s="1"/>
  <c r="M145" i="2"/>
  <c r="F145" i="2" s="1"/>
  <c r="M144" i="2"/>
  <c r="F144" i="2" s="1"/>
  <c r="M143" i="2"/>
  <c r="F143" i="2" s="1"/>
  <c r="M142" i="2"/>
  <c r="F142" i="2" s="1"/>
  <c r="M141" i="2"/>
  <c r="F141" i="2" s="1"/>
  <c r="M140" i="2"/>
  <c r="F140" i="2" s="1"/>
  <c r="M139" i="2"/>
  <c r="F139" i="2" s="1"/>
  <c r="M138" i="2"/>
  <c r="F138" i="2" s="1"/>
  <c r="M137" i="2"/>
  <c r="F137" i="2" s="1"/>
  <c r="M136" i="2"/>
  <c r="F136" i="2" s="1"/>
  <c r="P135" i="2"/>
  <c r="I135" i="2" s="1"/>
  <c r="M135" i="2"/>
  <c r="F135" i="2" s="1"/>
  <c r="M134" i="2"/>
  <c r="F134" i="2" s="1"/>
  <c r="M133" i="2"/>
  <c r="F133" i="2" s="1"/>
  <c r="M132" i="2"/>
  <c r="F132" i="2" s="1"/>
  <c r="M131" i="2"/>
  <c r="F131" i="2" s="1"/>
  <c r="M130" i="2"/>
  <c r="F130" i="2" s="1"/>
  <c r="M129" i="2"/>
  <c r="F129" i="2" s="1"/>
  <c r="M128" i="2"/>
  <c r="F128" i="2" s="1"/>
  <c r="M127" i="2"/>
  <c r="F127" i="2" s="1"/>
  <c r="M126" i="2"/>
  <c r="F126" i="2" s="1"/>
  <c r="M125" i="2"/>
  <c r="F125" i="2" s="1"/>
  <c r="M124" i="2"/>
  <c r="F124" i="2" s="1"/>
  <c r="P123" i="2"/>
  <c r="I123" i="2" s="1"/>
  <c r="M123" i="2"/>
  <c r="F123" i="2" s="1"/>
  <c r="M122" i="2"/>
  <c r="F122" i="2" s="1"/>
  <c r="M121" i="2"/>
  <c r="F121" i="2" s="1"/>
  <c r="P120" i="2"/>
  <c r="I120" i="2" s="1"/>
  <c r="M120" i="2"/>
  <c r="F120" i="2" s="1"/>
  <c r="P119" i="2"/>
  <c r="I119" i="2" s="1"/>
  <c r="M119" i="2"/>
  <c r="F119" i="2" s="1"/>
  <c r="P118" i="2"/>
  <c r="I118" i="2" s="1"/>
  <c r="M118" i="2"/>
  <c r="F118" i="2" s="1"/>
  <c r="P117" i="2"/>
  <c r="I117" i="2" s="1"/>
  <c r="M117" i="2"/>
  <c r="F117" i="2" s="1"/>
  <c r="P116" i="2"/>
  <c r="I116" i="2" s="1"/>
  <c r="M116" i="2"/>
  <c r="F116" i="2" s="1"/>
  <c r="P115" i="2"/>
  <c r="I115" i="2" s="1"/>
  <c r="M115" i="2"/>
  <c r="F115" i="2" s="1"/>
  <c r="P114" i="2"/>
  <c r="I114" i="2" s="1"/>
  <c r="M114" i="2"/>
  <c r="F114" i="2" s="1"/>
  <c r="P113" i="2"/>
  <c r="I113" i="2" s="1"/>
  <c r="M113" i="2"/>
  <c r="F113" i="2" s="1"/>
  <c r="P112" i="2"/>
  <c r="I112" i="2" s="1"/>
  <c r="M112" i="2"/>
  <c r="F112" i="2" s="1"/>
  <c r="P111" i="2"/>
  <c r="I111" i="2" s="1"/>
  <c r="M111" i="2"/>
  <c r="F111" i="2" s="1"/>
  <c r="P110" i="2"/>
  <c r="I110" i="2" s="1"/>
  <c r="M110" i="2"/>
  <c r="F110" i="2" s="1"/>
  <c r="P109" i="2"/>
  <c r="I109" i="2" s="1"/>
  <c r="M109" i="2"/>
  <c r="F109" i="2" s="1"/>
  <c r="P108" i="2"/>
  <c r="I108" i="2" s="1"/>
  <c r="M108" i="2"/>
  <c r="F108" i="2" s="1"/>
  <c r="P107" i="2"/>
  <c r="I107" i="2" s="1"/>
  <c r="M107" i="2"/>
  <c r="F107" i="2" s="1"/>
  <c r="P106" i="2"/>
  <c r="I106" i="2" s="1"/>
  <c r="M106" i="2"/>
  <c r="F106" i="2" s="1"/>
  <c r="P105" i="2"/>
  <c r="I105" i="2" s="1"/>
  <c r="M105" i="2"/>
  <c r="F105" i="2" s="1"/>
  <c r="P104" i="2"/>
  <c r="I104" i="2" s="1"/>
  <c r="M104" i="2"/>
  <c r="F104" i="2" s="1"/>
  <c r="M103" i="2"/>
  <c r="F103" i="2" s="1"/>
  <c r="M102" i="2"/>
  <c r="F102" i="2" s="1"/>
  <c r="M101" i="2"/>
  <c r="F101" i="2" s="1"/>
  <c r="M100" i="2"/>
  <c r="F100" i="2" s="1"/>
  <c r="M99" i="2"/>
  <c r="F99" i="2" s="1"/>
  <c r="P98" i="2"/>
  <c r="I98" i="2" s="1"/>
  <c r="M98" i="2"/>
  <c r="F98" i="2" s="1"/>
  <c r="M97" i="2"/>
  <c r="F97" i="2" s="1"/>
  <c r="P96" i="2"/>
  <c r="I96" i="2" s="1"/>
  <c r="M96" i="2"/>
  <c r="F96" i="2" s="1"/>
  <c r="P95" i="2"/>
  <c r="I95" i="2" s="1"/>
  <c r="M95" i="2"/>
  <c r="F95" i="2" s="1"/>
  <c r="P94" i="2"/>
  <c r="I94" i="2" s="1"/>
  <c r="M94" i="2"/>
  <c r="F94" i="2" s="1"/>
  <c r="M93" i="2"/>
  <c r="F93" i="2" s="1"/>
  <c r="P92" i="2"/>
  <c r="I92" i="2" s="1"/>
  <c r="M92" i="2"/>
  <c r="F92" i="2" s="1"/>
  <c r="M91" i="2"/>
  <c r="F91" i="2" s="1"/>
  <c r="P90" i="2"/>
  <c r="I90" i="2" s="1"/>
  <c r="M90" i="2"/>
  <c r="F90" i="2" s="1"/>
  <c r="P89" i="2"/>
  <c r="I89" i="2" s="1"/>
  <c r="M89" i="2"/>
  <c r="F89" i="2" s="1"/>
  <c r="M88" i="2"/>
  <c r="F88" i="2" s="1"/>
  <c r="P87" i="2"/>
  <c r="I87" i="2" s="1"/>
  <c r="M87" i="2"/>
  <c r="F87" i="2" s="1"/>
  <c r="M86" i="2"/>
  <c r="F86" i="2" s="1"/>
  <c r="P85" i="2"/>
  <c r="I85" i="2" s="1"/>
  <c r="M85" i="2"/>
  <c r="F85" i="2" s="1"/>
  <c r="P84" i="2"/>
  <c r="I84" i="2" s="1"/>
  <c r="M84" i="2"/>
  <c r="F84" i="2" s="1"/>
  <c r="P83" i="2"/>
  <c r="I83" i="2" s="1"/>
  <c r="M83" i="2"/>
  <c r="F83" i="2" s="1"/>
  <c r="P82" i="2"/>
  <c r="I82" i="2" s="1"/>
  <c r="M82" i="2"/>
  <c r="F82" i="2" s="1"/>
  <c r="M81" i="2"/>
  <c r="F81" i="2" s="1"/>
  <c r="M80" i="2"/>
  <c r="F80" i="2" s="1"/>
  <c r="M79" i="2"/>
  <c r="F79" i="2" s="1"/>
  <c r="P78" i="2"/>
  <c r="I78" i="2" s="1"/>
  <c r="M78" i="2"/>
  <c r="F78" i="2" s="1"/>
  <c r="P77" i="2"/>
  <c r="I77" i="2" s="1"/>
  <c r="M77" i="2"/>
  <c r="F77" i="2" s="1"/>
  <c r="P76" i="2"/>
  <c r="I76" i="2" s="1"/>
  <c r="M76" i="2"/>
  <c r="F76" i="2" s="1"/>
  <c r="P75" i="2"/>
  <c r="I75" i="2" s="1"/>
  <c r="M75" i="2"/>
  <c r="F75" i="2" s="1"/>
  <c r="M74" i="2"/>
  <c r="F74" i="2" s="1"/>
  <c r="P73" i="2"/>
  <c r="I73" i="2" s="1"/>
  <c r="M73" i="2"/>
  <c r="F73" i="2" s="1"/>
  <c r="M72" i="2"/>
  <c r="F72" i="2" s="1"/>
  <c r="P71" i="2"/>
  <c r="I71" i="2" s="1"/>
  <c r="M71" i="2"/>
  <c r="F71" i="2" s="1"/>
  <c r="M70" i="2"/>
  <c r="F70" i="2" s="1"/>
  <c r="M69" i="2"/>
  <c r="F69" i="2" s="1"/>
  <c r="M68" i="2"/>
  <c r="F68" i="2" s="1"/>
  <c r="M67" i="2"/>
  <c r="F67" i="2" s="1"/>
  <c r="P66" i="2"/>
  <c r="I66" i="2" s="1"/>
  <c r="M66" i="2"/>
  <c r="F66" i="2" s="1"/>
  <c r="P65" i="2"/>
  <c r="I65" i="2" s="1"/>
  <c r="M65" i="2"/>
  <c r="F65" i="2" s="1"/>
  <c r="P64" i="2"/>
  <c r="I64" i="2" s="1"/>
  <c r="M64" i="2"/>
  <c r="F64" i="2" s="1"/>
  <c r="P63" i="2"/>
  <c r="I63" i="2" s="1"/>
  <c r="M63" i="2"/>
  <c r="F63" i="2" s="1"/>
  <c r="M62" i="2"/>
  <c r="F62" i="2" s="1"/>
  <c r="P61" i="2"/>
  <c r="I61" i="2" s="1"/>
  <c r="M61" i="2"/>
  <c r="F61" i="2" s="1"/>
  <c r="P60" i="2"/>
  <c r="I60" i="2" s="1"/>
  <c r="M60" i="2"/>
  <c r="F60" i="2" s="1"/>
  <c r="P59" i="2"/>
  <c r="I59" i="2" s="1"/>
  <c r="M59" i="2"/>
  <c r="F59" i="2" s="1"/>
  <c r="M58" i="2"/>
  <c r="F58" i="2" s="1"/>
  <c r="P57" i="2"/>
  <c r="I57" i="2" s="1"/>
  <c r="M57" i="2"/>
  <c r="F57" i="2" s="1"/>
  <c r="M56" i="2"/>
  <c r="F56" i="2" s="1"/>
  <c r="M55" i="2"/>
  <c r="F55" i="2" s="1"/>
  <c r="M54" i="2"/>
  <c r="F54" i="2" s="1"/>
  <c r="M53" i="2"/>
  <c r="F53" i="2" s="1"/>
  <c r="M52" i="2"/>
  <c r="F52" i="2" s="1"/>
  <c r="M51" i="2"/>
  <c r="F51" i="2" s="1"/>
  <c r="M50" i="2"/>
  <c r="F50" i="2" s="1"/>
  <c r="M49" i="2"/>
  <c r="F49" i="2" s="1"/>
  <c r="M48" i="2"/>
  <c r="F48" i="2" s="1"/>
  <c r="M47" i="2"/>
  <c r="F47" i="2" s="1"/>
  <c r="M46" i="2"/>
  <c r="F46" i="2" s="1"/>
  <c r="M45" i="2"/>
  <c r="F45" i="2" s="1"/>
  <c r="M44" i="2"/>
  <c r="F44" i="2" s="1"/>
  <c r="M43" i="2"/>
  <c r="F43" i="2" s="1"/>
  <c r="P42" i="2"/>
  <c r="I42" i="2" s="1"/>
  <c r="M42" i="2"/>
  <c r="F42" i="2" s="1"/>
  <c r="M41" i="2"/>
  <c r="F41" i="2" s="1"/>
  <c r="M40" i="2"/>
  <c r="F40" i="2" s="1"/>
  <c r="M39" i="2"/>
  <c r="F39" i="2" s="1"/>
  <c r="M38" i="2"/>
  <c r="F38" i="2" s="1"/>
  <c r="M37" i="2"/>
  <c r="F37" i="2" s="1"/>
  <c r="M36" i="2"/>
  <c r="F36" i="2" s="1"/>
  <c r="M35" i="2"/>
  <c r="F35" i="2" s="1"/>
  <c r="M34" i="2"/>
  <c r="F34" i="2" s="1"/>
  <c r="M33" i="2"/>
  <c r="F33" i="2" s="1"/>
  <c r="M32" i="2"/>
  <c r="F32" i="2" s="1"/>
  <c r="M31" i="2"/>
  <c r="F31" i="2" s="1"/>
  <c r="M30" i="2"/>
  <c r="F30" i="2" s="1"/>
  <c r="M29" i="2"/>
  <c r="F29" i="2" s="1"/>
  <c r="M28" i="2"/>
  <c r="F28" i="2" s="1"/>
  <c r="M27" i="2"/>
  <c r="F27" i="2" s="1"/>
  <c r="M26" i="2"/>
  <c r="F26" i="2" s="1"/>
  <c r="M25" i="2"/>
  <c r="F25" i="2" s="1"/>
  <c r="M24" i="2"/>
  <c r="F24" i="2" s="1"/>
  <c r="M23" i="2"/>
  <c r="F23" i="2" s="1"/>
  <c r="M22" i="2"/>
  <c r="F22" i="2" s="1"/>
  <c r="M21" i="2"/>
  <c r="F21" i="2" s="1"/>
  <c r="M20" i="2"/>
  <c r="F20" i="2" s="1"/>
  <c r="M19" i="2"/>
  <c r="F19" i="2" s="1"/>
  <c r="M18" i="2"/>
  <c r="F18" i="2" s="1"/>
  <c r="M17" i="2"/>
  <c r="F17" i="2" s="1"/>
  <c r="M16" i="2"/>
  <c r="F16" i="2" s="1"/>
  <c r="M15" i="2"/>
  <c r="F15" i="2" s="1"/>
  <c r="M14" i="2"/>
  <c r="F14" i="2" s="1"/>
  <c r="M13" i="2"/>
  <c r="F13" i="2" s="1"/>
  <c r="M12" i="2"/>
  <c r="F12" i="2" s="1"/>
  <c r="M11" i="2"/>
  <c r="F11" i="2" s="1"/>
  <c r="M10" i="2"/>
  <c r="F10" i="2" s="1"/>
  <c r="M9" i="2"/>
  <c r="F9" i="2" s="1"/>
  <c r="M8" i="2"/>
  <c r="F8" i="2" s="1"/>
  <c r="M7" i="2"/>
  <c r="F7" i="2" s="1"/>
  <c r="M6" i="2"/>
  <c r="F6" i="2" s="1"/>
  <c r="M5" i="2"/>
  <c r="F5" i="2" s="1"/>
  <c r="M4" i="2"/>
  <c r="F4" i="2" s="1"/>
  <c r="O4" i="2"/>
  <c r="P4" i="2"/>
  <c r="O5" i="2"/>
  <c r="P5" i="2"/>
  <c r="O6" i="2"/>
  <c r="P6" i="2"/>
  <c r="O7" i="2"/>
  <c r="P7" i="2"/>
  <c r="O8" i="2"/>
  <c r="P8" i="2"/>
  <c r="O9" i="2"/>
  <c r="P9" i="2"/>
  <c r="O10" i="2"/>
  <c r="P10" i="2"/>
  <c r="O11" i="2"/>
  <c r="P11" i="2"/>
  <c r="O12" i="2"/>
  <c r="P12" i="2"/>
  <c r="O13" i="2"/>
  <c r="P13" i="2"/>
  <c r="O14" i="2"/>
  <c r="P14" i="2"/>
  <c r="O15" i="2"/>
  <c r="P15" i="2"/>
  <c r="O16" i="2"/>
  <c r="P16" i="2"/>
  <c r="O17" i="2"/>
  <c r="P17" i="2"/>
  <c r="O18" i="2"/>
  <c r="P18" i="2"/>
  <c r="N19" i="2"/>
  <c r="P19" i="2"/>
  <c r="N20" i="2"/>
  <c r="P20" i="2"/>
  <c r="N21" i="2"/>
  <c r="P21" i="2"/>
  <c r="O22" i="2"/>
  <c r="P22" i="2"/>
  <c r="N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O34" i="2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N42" i="2"/>
  <c r="O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N54" i="2"/>
  <c r="P54" i="2"/>
  <c r="O55" i="2"/>
  <c r="P55" i="2"/>
  <c r="N56" i="2"/>
  <c r="P56" i="2"/>
  <c r="N57" i="2"/>
  <c r="O57" i="2"/>
  <c r="O58" i="2"/>
  <c r="P58" i="2"/>
  <c r="N59" i="2"/>
  <c r="O59" i="2"/>
  <c r="N60" i="2"/>
  <c r="O60" i="2"/>
  <c r="N61" i="2"/>
  <c r="O61" i="2"/>
  <c r="O62" i="2"/>
  <c r="P62" i="2"/>
  <c r="N63" i="2"/>
  <c r="O63" i="2"/>
  <c r="N64" i="2"/>
  <c r="O64" i="2"/>
  <c r="N65" i="2"/>
  <c r="O65" i="2"/>
  <c r="N66" i="2"/>
  <c r="O66" i="2"/>
  <c r="O67" i="2"/>
  <c r="P67" i="2"/>
  <c r="O68" i="2"/>
  <c r="P68" i="2"/>
  <c r="O69" i="2"/>
  <c r="P69" i="2"/>
  <c r="O70" i="2"/>
  <c r="P70" i="2"/>
  <c r="N71" i="2"/>
  <c r="O71" i="2"/>
  <c r="O72" i="2"/>
  <c r="P72" i="2"/>
  <c r="N73" i="2"/>
  <c r="O73" i="2"/>
  <c r="N74" i="2"/>
  <c r="P74" i="2"/>
  <c r="N75" i="2"/>
  <c r="O75" i="2"/>
  <c r="N76" i="2"/>
  <c r="O76" i="2"/>
  <c r="N77" i="2"/>
  <c r="O77" i="2"/>
  <c r="N78" i="2"/>
  <c r="O78" i="2"/>
  <c r="N79" i="2"/>
  <c r="P79" i="2"/>
  <c r="N80" i="2"/>
  <c r="P80" i="2"/>
  <c r="N81" i="2"/>
  <c r="P81" i="2"/>
  <c r="N82" i="2"/>
  <c r="O82" i="2"/>
  <c r="N83" i="2"/>
  <c r="O83" i="2"/>
  <c r="N84" i="2"/>
  <c r="O84" i="2"/>
  <c r="N85" i="2"/>
  <c r="O85" i="2"/>
  <c r="O86" i="2"/>
  <c r="P86" i="2"/>
  <c r="N87" i="2"/>
  <c r="O87" i="2"/>
  <c r="O88" i="2"/>
  <c r="P88" i="2"/>
  <c r="N89" i="2"/>
  <c r="O89" i="2"/>
  <c r="N90" i="2"/>
  <c r="O90" i="2"/>
  <c r="N91" i="2"/>
  <c r="P91" i="2"/>
  <c r="N92" i="2"/>
  <c r="O92" i="2"/>
  <c r="N93" i="2"/>
  <c r="P93" i="2"/>
  <c r="N94" i="2"/>
  <c r="O94" i="2"/>
  <c r="N95" i="2"/>
  <c r="O95" i="2"/>
  <c r="N96" i="2"/>
  <c r="O96" i="2"/>
  <c r="N97" i="2"/>
  <c r="P97" i="2"/>
  <c r="N98" i="2"/>
  <c r="O98" i="2"/>
  <c r="N99" i="2"/>
  <c r="P99" i="2"/>
  <c r="N100" i="2"/>
  <c r="P100" i="2"/>
  <c r="N101" i="2"/>
  <c r="P101" i="2"/>
  <c r="N102" i="2"/>
  <c r="P102" i="2"/>
  <c r="N103" i="2"/>
  <c r="P103" i="2"/>
  <c r="N104" i="2"/>
  <c r="O104" i="2"/>
  <c r="N105" i="2"/>
  <c r="O105" i="2"/>
  <c r="N106" i="2"/>
  <c r="O106" i="2"/>
  <c r="N107" i="2"/>
  <c r="O107" i="2"/>
  <c r="N108" i="2"/>
  <c r="O108" i="2"/>
  <c r="N109" i="2"/>
  <c r="O109" i="2"/>
  <c r="N110" i="2"/>
  <c r="O110" i="2"/>
  <c r="N111" i="2"/>
  <c r="O111" i="2"/>
  <c r="N112" i="2"/>
  <c r="O112" i="2"/>
  <c r="N113" i="2"/>
  <c r="O113" i="2"/>
  <c r="N114" i="2"/>
  <c r="O114" i="2"/>
  <c r="N115" i="2"/>
  <c r="O115" i="2"/>
  <c r="N116" i="2"/>
  <c r="O116" i="2"/>
  <c r="N117" i="2"/>
  <c r="O117" i="2"/>
  <c r="N118" i="2"/>
  <c r="O118" i="2"/>
  <c r="N119" i="2"/>
  <c r="O119" i="2"/>
  <c r="N120" i="2"/>
  <c r="O120" i="2"/>
  <c r="O121" i="2"/>
  <c r="P121" i="2"/>
  <c r="N122" i="2"/>
  <c r="P122" i="2"/>
  <c r="N123" i="2"/>
  <c r="O123" i="2"/>
  <c r="O124" i="2"/>
  <c r="P124" i="2"/>
  <c r="O125" i="2"/>
  <c r="P125" i="2"/>
  <c r="O126" i="2"/>
  <c r="P126" i="2"/>
  <c r="O127" i="2"/>
  <c r="P127" i="2"/>
  <c r="O128" i="2"/>
  <c r="P128" i="2"/>
  <c r="N129" i="2"/>
  <c r="P129" i="2"/>
  <c r="N130" i="2"/>
  <c r="P130" i="2"/>
  <c r="N131" i="2"/>
  <c r="P131" i="2"/>
  <c r="O132" i="2"/>
  <c r="P132" i="2"/>
  <c r="O133" i="2"/>
  <c r="P133" i="2"/>
  <c r="O134" i="2"/>
  <c r="P134" i="2"/>
  <c r="N135" i="2"/>
  <c r="O135" i="2"/>
  <c r="N136" i="2"/>
  <c r="P136" i="2"/>
  <c r="N137" i="2"/>
  <c r="P137" i="2"/>
  <c r="O138" i="2"/>
  <c r="P138" i="2"/>
  <c r="O139" i="2"/>
  <c r="P139" i="2"/>
  <c r="O140" i="2"/>
  <c r="P140" i="2"/>
  <c r="O141" i="2"/>
  <c r="P141" i="2"/>
  <c r="O142" i="2"/>
  <c r="P142" i="2"/>
  <c r="N143" i="2"/>
  <c r="P143" i="2"/>
  <c r="O144" i="2"/>
  <c r="P144" i="2"/>
  <c r="O145" i="2"/>
  <c r="P145" i="2"/>
  <c r="O146" i="2"/>
  <c r="P146" i="2"/>
  <c r="O147" i="2"/>
  <c r="P147" i="2"/>
  <c r="O148" i="2"/>
  <c r="P148" i="2"/>
  <c r="N149" i="2"/>
  <c r="O149" i="2"/>
  <c r="N150" i="2"/>
  <c r="O150" i="2"/>
  <c r="N151" i="2"/>
  <c r="O151" i="2"/>
  <c r="N152" i="2"/>
  <c r="O152" i="2"/>
  <c r="N153" i="2"/>
  <c r="P153" i="2"/>
  <c r="N154" i="2"/>
  <c r="P154" i="2"/>
  <c r="N155" i="2"/>
  <c r="P155" i="2"/>
  <c r="N156" i="2"/>
  <c r="P156" i="2"/>
  <c r="O157" i="2"/>
  <c r="P157" i="2"/>
  <c r="O158" i="2"/>
  <c r="P158" i="2"/>
  <c r="O159" i="2"/>
  <c r="P159" i="2"/>
  <c r="O160" i="2"/>
  <c r="P160" i="2"/>
  <c r="O161" i="2"/>
  <c r="P161" i="2"/>
  <c r="N162" i="2"/>
  <c r="P162" i="2"/>
  <c r="N163" i="2"/>
  <c r="P163" i="2"/>
  <c r="N164" i="2"/>
  <c r="P164" i="2"/>
  <c r="N165" i="2"/>
  <c r="O165" i="2"/>
  <c r="N166" i="2"/>
  <c r="P166" i="2"/>
  <c r="N167" i="2"/>
  <c r="P167" i="2"/>
  <c r="N168" i="2"/>
  <c r="O168" i="2"/>
  <c r="N169" i="2"/>
  <c r="P169" i="2"/>
  <c r="N170" i="2"/>
  <c r="P170" i="2"/>
  <c r="N171" i="2"/>
  <c r="O171" i="2"/>
  <c r="N172" i="2"/>
  <c r="O172" i="2"/>
  <c r="N173" i="2"/>
  <c r="O173" i="2"/>
  <c r="N174" i="2"/>
  <c r="P174" i="2"/>
  <c r="N175" i="2"/>
  <c r="P175" i="2"/>
  <c r="N176" i="2"/>
  <c r="P176" i="2"/>
  <c r="N177" i="2"/>
  <c r="P177" i="2"/>
  <c r="N178" i="2"/>
  <c r="P178" i="2"/>
  <c r="N179" i="2"/>
  <c r="P179" i="2"/>
  <c r="N180" i="2"/>
  <c r="O180" i="2"/>
  <c r="N181" i="2"/>
  <c r="O181" i="2"/>
  <c r="N182" i="2"/>
  <c r="O182" i="2"/>
  <c r="N183" i="2"/>
  <c r="O183" i="2"/>
  <c r="N184" i="2"/>
  <c r="O184" i="2"/>
  <c r="N185" i="2"/>
  <c r="P185" i="2"/>
  <c r="N186" i="2"/>
  <c r="P186" i="2"/>
  <c r="N187" i="2"/>
  <c r="P187" i="2"/>
  <c r="N188" i="2"/>
  <c r="P188" i="2"/>
  <c r="N189" i="2"/>
  <c r="P189" i="2"/>
  <c r="N190" i="2"/>
  <c r="P190" i="2"/>
  <c r="N191" i="2"/>
  <c r="P191" i="2"/>
  <c r="N192" i="2"/>
  <c r="P192" i="2"/>
  <c r="N193" i="2"/>
  <c r="P193" i="2"/>
  <c r="N194" i="2"/>
  <c r="P194" i="2"/>
  <c r="N195" i="2"/>
  <c r="P195" i="2"/>
  <c r="N196" i="2"/>
  <c r="P196" i="2"/>
  <c r="N197" i="2"/>
  <c r="P197" i="2"/>
  <c r="N198" i="2"/>
  <c r="P198" i="2"/>
  <c r="N199" i="2"/>
  <c r="P199" i="2"/>
  <c r="P3" i="2"/>
  <c r="O3" i="2"/>
  <c r="BL2" i="1"/>
  <c r="BD2" i="1"/>
  <c r="BE2" i="1"/>
  <c r="BF2" i="1"/>
  <c r="BG2" i="1"/>
  <c r="BH2" i="1"/>
  <c r="BI2" i="1"/>
  <c r="BJ2" i="1"/>
  <c r="BK2" i="1"/>
  <c r="BC2" i="1"/>
  <c r="AO2" i="1"/>
  <c r="AP2" i="1"/>
  <c r="AQ2" i="1"/>
  <c r="AR2" i="1"/>
  <c r="AS2" i="1"/>
  <c r="AT2" i="1"/>
  <c r="AU2" i="1"/>
  <c r="AV2" i="1"/>
  <c r="AW2" i="1"/>
  <c r="AX2" i="1"/>
  <c r="BX8" i="1" l="1" a="1"/>
  <c r="BX8" i="1" s="1"/>
  <c r="BE8" i="1" a="1"/>
  <c r="BE8" i="1" s="1"/>
  <c r="BA8" i="1" a="1"/>
  <c r="BA9" i="1" s="1"/>
  <c r="AN8" i="1" a="1"/>
  <c r="AN8" i="1" s="1"/>
  <c r="L8" i="1" a="1"/>
  <c r="L9" i="1" s="1"/>
  <c r="P8" i="1" a="1"/>
  <c r="P8" i="1" s="1"/>
  <c r="T8" i="1" a="1"/>
  <c r="T8" i="1" s="1"/>
  <c r="X8" i="1" a="1"/>
  <c r="X8" i="1" s="1"/>
  <c r="AB8" i="1" a="1"/>
  <c r="AB8" i="1" s="1"/>
  <c r="AF8" i="1" a="1"/>
  <c r="AF8" i="1" s="1"/>
  <c r="AJ8" i="1" a="1"/>
  <c r="AJ8" i="1" s="1"/>
  <c r="K8" i="1" a="1"/>
  <c r="K8" i="1" s="1"/>
  <c r="G8" i="1" a="1"/>
  <c r="G8" i="1" s="1"/>
  <c r="Z8" i="1" a="1"/>
  <c r="Z9" i="1" s="1"/>
  <c r="AL8" i="1" a="1"/>
  <c r="AL9" i="1" s="1"/>
  <c r="BW8" i="1" a="1"/>
  <c r="BW9" i="1" s="1"/>
  <c r="AZ8" i="1" a="1"/>
  <c r="AZ8" i="1" s="1"/>
  <c r="B8" i="1" a="1"/>
  <c r="B8" i="1" s="1"/>
  <c r="S8" i="1" a="1"/>
  <c r="S8" i="1" s="1"/>
  <c r="AA8" i="1" a="1"/>
  <c r="AA8" i="1" s="1"/>
  <c r="AI8" i="1" a="1"/>
  <c r="AI8" i="1" s="1"/>
  <c r="H8" i="1" a="1"/>
  <c r="H8" i="1" s="1"/>
  <c r="BY8" i="1" a="1"/>
  <c r="BY8" i="1" s="1"/>
  <c r="BI8" i="1" a="1"/>
  <c r="BI8" i="1" s="1"/>
  <c r="C8" i="1" a="1"/>
  <c r="C8" i="1" s="1"/>
  <c r="M8" i="1" a="1"/>
  <c r="M8" i="1" s="1"/>
  <c r="Q8" i="1" a="1"/>
  <c r="Q8" i="1" s="1"/>
  <c r="U8" i="1" a="1"/>
  <c r="U8" i="1" s="1"/>
  <c r="Y8" i="1" a="1"/>
  <c r="Y8" i="1" s="1"/>
  <c r="AC8" i="1" a="1"/>
  <c r="AC8" i="1" s="1"/>
  <c r="AG8" i="1" a="1"/>
  <c r="AG8" i="1" s="1"/>
  <c r="AK8" i="1" a="1"/>
  <c r="AK8" i="1" s="1"/>
  <c r="J8" i="1" a="1"/>
  <c r="J8" i="1" s="1"/>
  <c r="F8" i="1" a="1"/>
  <c r="F8" i="1" s="1"/>
  <c r="V8" i="1" a="1"/>
  <c r="V9" i="1" s="1"/>
  <c r="AH8" i="1" a="1"/>
  <c r="AH9" i="1" s="1"/>
  <c r="E8" i="1" a="1"/>
  <c r="E8" i="1" s="1"/>
  <c r="BB8" i="1" a="1"/>
  <c r="BB9" i="1" s="1"/>
  <c r="AY8" i="1" a="1"/>
  <c r="AY8" i="1" s="1"/>
  <c r="O8" i="1" a="1"/>
  <c r="O8" i="1" s="1"/>
  <c r="W8" i="1" a="1"/>
  <c r="W8" i="1" s="1"/>
  <c r="AE8" i="1" a="1"/>
  <c r="AE8" i="1" s="1"/>
  <c r="AM8" i="1" a="1"/>
  <c r="AM8" i="1" s="1"/>
  <c r="BV8" i="1" a="1"/>
  <c r="BV8" i="1" s="1"/>
  <c r="D8" i="1" a="1"/>
  <c r="D9" i="1" s="1"/>
  <c r="N8" i="1" a="1"/>
  <c r="N9" i="1" s="1"/>
  <c r="R8" i="1" a="1"/>
  <c r="R9" i="1" s="1"/>
  <c r="AD8" i="1" a="1"/>
  <c r="AD9" i="1" s="1"/>
  <c r="I8" i="1" a="1"/>
  <c r="I9" i="1" s="1"/>
  <c r="AX8" i="1" a="1"/>
  <c r="AX8" i="1" s="1"/>
  <c r="AT8" i="1" a="1"/>
  <c r="AT8" i="1" s="1"/>
  <c r="AP8" i="1" a="1"/>
  <c r="AP9" i="1" s="1"/>
  <c r="BC8" i="1" a="1"/>
  <c r="BC8" i="1" s="1"/>
  <c r="BH8" i="1" a="1"/>
  <c r="BH9" i="1" s="1"/>
  <c r="BD8" i="1" a="1"/>
  <c r="BD9" i="1" s="1"/>
  <c r="BL8" i="1" a="1"/>
  <c r="BL9" i="1" s="1"/>
  <c r="AQ8" i="1" a="1"/>
  <c r="AQ8" i="1" s="1"/>
  <c r="AW8" i="1" a="1"/>
  <c r="AW8" i="1" s="1"/>
  <c r="AS8" i="1" a="1"/>
  <c r="AS9" i="1" s="1"/>
  <c r="AO8" i="1" a="1"/>
  <c r="AO9" i="1" s="1"/>
  <c r="BK8" i="1" a="1"/>
  <c r="BK8" i="1" s="1"/>
  <c r="BG8" i="1" a="1"/>
  <c r="BG9" i="1" s="1"/>
  <c r="AU8" i="1" a="1"/>
  <c r="AU9" i="1" s="1"/>
  <c r="AV8" i="1" a="1"/>
  <c r="AV9" i="1" s="1"/>
  <c r="AR8" i="1" a="1"/>
  <c r="AR9" i="1" s="1"/>
  <c r="BJ8" i="1" a="1"/>
  <c r="BJ8" i="1" s="1"/>
  <c r="BF8" i="1" a="1"/>
  <c r="BF8" i="1" s="1"/>
  <c r="BM2" i="1"/>
  <c r="W9" i="1" l="1"/>
  <c r="P9" i="1"/>
  <c r="BE9" i="1"/>
  <c r="H9" i="1"/>
  <c r="BA8" i="1"/>
  <c r="Z8" i="1"/>
  <c r="Y9" i="1"/>
  <c r="BX9" i="1"/>
  <c r="G9" i="1"/>
  <c r="L8" i="1"/>
  <c r="AZ9" i="1"/>
  <c r="F9" i="1"/>
  <c r="N8" i="1"/>
  <c r="AX9" i="1"/>
  <c r="AC9" i="1"/>
  <c r="B9" i="1"/>
  <c r="AE9" i="1"/>
  <c r="M9" i="1"/>
  <c r="AF9" i="1"/>
  <c r="AW9" i="1"/>
  <c r="BH8" i="1"/>
  <c r="AT9" i="1"/>
  <c r="BD8" i="1"/>
  <c r="Q9" i="1"/>
  <c r="D8" i="1"/>
  <c r="AQ9" i="1"/>
  <c r="BY9" i="1"/>
  <c r="AM9" i="1"/>
  <c r="T9" i="1"/>
  <c r="AG9" i="1"/>
  <c r="BB8" i="1"/>
  <c r="BJ9" i="1"/>
  <c r="BG8" i="1"/>
  <c r="I8" i="1"/>
  <c r="BC9" i="1"/>
  <c r="C9" i="1"/>
  <c r="AY9" i="1"/>
  <c r="R8" i="1"/>
  <c r="AI9" i="1"/>
  <c r="E9" i="1"/>
  <c r="J9" i="1"/>
  <c r="AB9" i="1"/>
  <c r="AU8" i="1"/>
  <c r="BF9" i="1"/>
  <c r="AR8" i="1"/>
  <c r="BK9" i="1"/>
  <c r="BW8" i="1"/>
  <c r="AO8" i="1"/>
  <c r="O9" i="1"/>
  <c r="BL8" i="1"/>
  <c r="X9" i="1"/>
  <c r="U9" i="1"/>
  <c r="AJ9" i="1"/>
  <c r="S9" i="1"/>
  <c r="AA9" i="1"/>
  <c r="AV8" i="1"/>
  <c r="AS8" i="1"/>
  <c r="AP8" i="1"/>
  <c r="K9" i="1"/>
  <c r="AH8" i="1"/>
  <c r="AK9" i="1"/>
  <c r="AN9" i="1"/>
  <c r="BV9" i="1"/>
  <c r="BI9" i="1"/>
  <c r="V8" i="1"/>
  <c r="AD8" i="1"/>
  <c r="AL8" i="1"/>
  <c r="BN2" i="1"/>
  <c r="BM8" i="1" a="1"/>
  <c r="BM8" i="1" l="1"/>
  <c r="BM9" i="1"/>
  <c r="BN8" i="1" a="1"/>
  <c r="BO2" i="1"/>
  <c r="BP2" i="1" l="1"/>
  <c r="BO8" i="1" a="1"/>
  <c r="BN9" i="1"/>
  <c r="BN8" i="1"/>
  <c r="BO8" i="1" l="1"/>
  <c r="BO9" i="1"/>
  <c r="BP8" i="1" a="1"/>
  <c r="BQ2" i="1"/>
  <c r="BR2" i="1" l="1"/>
  <c r="BQ8" i="1" a="1"/>
  <c r="BP8" i="1"/>
  <c r="BP9" i="1"/>
  <c r="BQ8" i="1" l="1"/>
  <c r="BQ9" i="1"/>
  <c r="BR8" i="1" a="1"/>
  <c r="BS2" i="1"/>
  <c r="BT2" i="1" l="1"/>
  <c r="BS8" i="1" a="1"/>
  <c r="BR9" i="1"/>
  <c r="BR8" i="1"/>
  <c r="BS8" i="1" l="1"/>
  <c r="BS9" i="1"/>
  <c r="BT8" i="1" a="1"/>
  <c r="BU2" i="1"/>
  <c r="BU8" i="1" s="1" a="1"/>
  <c r="BT9" i="1" l="1"/>
  <c r="BT8" i="1"/>
  <c r="BU8" i="1"/>
  <c r="BU9" i="1"/>
</calcChain>
</file>

<file path=xl/sharedStrings.xml><?xml version="1.0" encoding="utf-8"?>
<sst xmlns="http://schemas.openxmlformats.org/spreadsheetml/2006/main" count="219" uniqueCount="26">
  <si>
    <t>X</t>
  </si>
  <si>
    <t>Y</t>
  </si>
  <si>
    <t>T(X)</t>
  </si>
  <si>
    <t>T(Y)</t>
  </si>
  <si>
    <t>T</t>
  </si>
  <si>
    <t>Angle</t>
  </si>
  <si>
    <t>gcs_y_poi</t>
  </si>
  <si>
    <t>gcs_y_MTF</t>
  </si>
  <si>
    <t>gcs_y_CSH</t>
  </si>
  <si>
    <t>evttype</t>
  </si>
  <si>
    <t>Killed</t>
  </si>
  <si>
    <t>Unmount</t>
  </si>
  <si>
    <t>NearMTF</t>
  </si>
  <si>
    <t>Mount</t>
  </si>
  <si>
    <t>gcs_x</t>
  </si>
  <si>
    <t>Minutes</t>
  </si>
  <si>
    <t>X Plot</t>
  </si>
  <si>
    <t>X ACTIVE</t>
  </si>
  <si>
    <t>Eval</t>
  </si>
  <si>
    <t>Y Plot 1</t>
  </si>
  <si>
    <t>Y Plot 2</t>
  </si>
  <si>
    <t>Y Plot 3</t>
  </si>
  <si>
    <t>POI</t>
  </si>
  <si>
    <t>MTF</t>
  </si>
  <si>
    <t>CSH</t>
  </si>
  <si>
    <t>%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</si>
</sst>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/>
      <top/>
      <bottom/>
      <diagonal/>
    </border>
  </borders>
  <cellStyleXfs count="2">
    <xf numFmtId="0" fontId="0" fillId="0" borderId="0"/>
    <xf numFmtId="0" fontId="4" fillId="0" borderId="0"/>
  </cellStyleXfs>
  <cellXfs count="1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0" fillId="2" borderId="0" xfId="0" applyFill="1"/>
    <xf numFmtId="164" fontId="0" fillId="2" borderId="0" xfId="0" applyNumberFormat="1" applyFill="1"/>
    <xf numFmtId="2" fontId="0" fillId="2" borderId="0" xfId="0" applyNumberFormat="1" applyFill="1"/>
    <xf numFmtId="0" fontId="5" fillId="3" borderId="0" xfId="0" applyFont="1" applyFill="1"/>
    <xf numFmtId="0" fontId="5" fillId="3" borderId="1" xfId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0" fontId="6" fillId="3" borderId="0" xfId="0" applyFont="1" applyFill="1"/>
    <xf numFmtId="0" fontId="6" fillId="3" borderId="0" xfId="1" applyFont="1" applyFill="1" applyBorder="1" applyAlignment="1">
      <alignment horizontal="right" wrapText="1"/>
    </xf>
    <xf numFmtId="0" fontId="6" fillId="3" borderId="0" xfId="0" applyFont="1" applyFill="1" applyBorder="1"/>
  </cellXfs>
  <cellStyles count="2">
    <cellStyle name="Normal" xfId="0" builtinId="0"/>
    <cellStyle name="Normal_Sheet1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887915663092071E-2"/>
          <c:y val="4.7875574959070702E-2"/>
          <c:w val="0.93248015752337243"/>
          <c:h val="0.8797486479526139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Transformations!$B$8:$BY$8</c:f>
              <c:numCache>
                <c:formatCode>General</c:formatCode>
                <c:ptCount val="7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</c:v>
                </c:pt>
                <c:pt idx="37">
                  <c:v>7</c:v>
                </c:pt>
                <c:pt idx="38">
                  <c:v>4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1.5</c:v>
                </c:pt>
                <c:pt idx="50">
                  <c:v>2.5</c:v>
                </c:pt>
                <c:pt idx="51">
                  <c:v>3.5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5.5</c:v>
                </c:pt>
                <c:pt idx="73">
                  <c:v>6.5</c:v>
                </c:pt>
                <c:pt idx="74">
                  <c:v>5.5</c:v>
                </c:pt>
                <c:pt idx="75">
                  <c:v>6.5</c:v>
                </c:pt>
              </c:numCache>
            </c:numRef>
          </c:xVal>
          <c:yVal>
            <c:numRef>
              <c:f>Transformations!$B$9:$BY$9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10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4</c:v>
                </c:pt>
                <c:pt idx="30">
                  <c:v>5</c:v>
                </c:pt>
                <c:pt idx="31">
                  <c:v>6</c:v>
                </c:pt>
                <c:pt idx="32">
                  <c:v>7</c:v>
                </c:pt>
                <c:pt idx="33">
                  <c:v>8</c:v>
                </c:pt>
                <c:pt idx="34">
                  <c:v>9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0</c:v>
                </c:pt>
                <c:pt idx="39">
                  <c:v>0.5</c:v>
                </c:pt>
                <c:pt idx="40">
                  <c:v>1.5</c:v>
                </c:pt>
                <c:pt idx="41">
                  <c:v>2.5</c:v>
                </c:pt>
                <c:pt idx="42">
                  <c:v>3.5</c:v>
                </c:pt>
                <c:pt idx="43">
                  <c:v>4.5</c:v>
                </c:pt>
                <c:pt idx="44">
                  <c:v>5.5</c:v>
                </c:pt>
                <c:pt idx="45">
                  <c:v>6.5</c:v>
                </c:pt>
                <c:pt idx="46">
                  <c:v>7.5</c:v>
                </c:pt>
                <c:pt idx="47">
                  <c:v>8.5</c:v>
                </c:pt>
                <c:pt idx="48">
                  <c:v>9.5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0.5</c:v>
                </c:pt>
                <c:pt idx="53">
                  <c:v>1.5</c:v>
                </c:pt>
                <c:pt idx="54">
                  <c:v>2.5</c:v>
                </c:pt>
                <c:pt idx="55">
                  <c:v>3.5</c:v>
                </c:pt>
                <c:pt idx="56">
                  <c:v>4.5</c:v>
                </c:pt>
                <c:pt idx="57">
                  <c:v>5.5</c:v>
                </c:pt>
                <c:pt idx="58">
                  <c:v>6.5</c:v>
                </c:pt>
                <c:pt idx="59">
                  <c:v>7.5</c:v>
                </c:pt>
                <c:pt idx="60">
                  <c:v>8.5</c:v>
                </c:pt>
                <c:pt idx="61">
                  <c:v>9.5</c:v>
                </c:pt>
                <c:pt idx="62">
                  <c:v>0.5</c:v>
                </c:pt>
                <c:pt idx="63">
                  <c:v>1.5</c:v>
                </c:pt>
                <c:pt idx="64">
                  <c:v>2.5</c:v>
                </c:pt>
                <c:pt idx="65">
                  <c:v>3.5</c:v>
                </c:pt>
                <c:pt idx="66">
                  <c:v>4.5</c:v>
                </c:pt>
                <c:pt idx="67">
                  <c:v>5.5</c:v>
                </c:pt>
                <c:pt idx="68">
                  <c:v>6.5</c:v>
                </c:pt>
                <c:pt idx="69">
                  <c:v>7.5</c:v>
                </c:pt>
                <c:pt idx="70">
                  <c:v>8.5</c:v>
                </c:pt>
                <c:pt idx="71">
                  <c:v>9.5</c:v>
                </c:pt>
                <c:pt idx="72">
                  <c:v>0</c:v>
                </c:pt>
                <c:pt idx="73">
                  <c:v>0</c:v>
                </c:pt>
                <c:pt idx="74">
                  <c:v>10</c:v>
                </c:pt>
                <c:pt idx="7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64-4F84-8A3D-E4708A7A0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30368"/>
        <c:axId val="1"/>
      </c:scatterChart>
      <c:valAx>
        <c:axId val="455030368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2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030368"/>
        <c:crosses val="autoZero"/>
        <c:crossBetween val="midCat"/>
      </c:valAx>
      <c:spPr>
        <a:gradFill flip="none" rotWithShape="1">
          <a:gsLst>
            <a:gs pos="0">
              <a:schemeClr val="accent1">
                <a:alpha val="0"/>
              </a:schemeClr>
            </a:gs>
            <a:gs pos="84000">
              <a:srgbClr val="00B050"/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25400">
          <a:noFill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Plot (Active)</a:t>
            </a:r>
          </a:p>
        </c:rich>
      </c:tx>
      <c:layout>
        <c:manualLayout>
          <c:xMode val="edge"/>
          <c:yMode val="edge"/>
          <c:x val="0.41420809234982536"/>
          <c:y val="8.7873462214411256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994585675573852E-2"/>
          <c:y val="8.43585237258348E-2"/>
          <c:w val="0.92131245870950595"/>
          <c:h val="0.787346221441124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'Time Plot'!$G$2</c:f>
              <c:strCache>
                <c:ptCount val="1"/>
                <c:pt idx="0">
                  <c:v>POI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'Time Plot'!$F$3:$F$199</c:f>
              <c:numCache>
                <c:formatCode>General</c:formatCode>
                <c:ptCount val="197"/>
                <c:pt idx="0">
                  <c:v>1.5335681000000001</c:v>
                </c:pt>
                <c:pt idx="1">
                  <c:v>1.5335681000000001</c:v>
                </c:pt>
                <c:pt idx="2">
                  <c:v>1.5335681000000001</c:v>
                </c:pt>
                <c:pt idx="3">
                  <c:v>1.6223116</c:v>
                </c:pt>
                <c:pt idx="4">
                  <c:v>1.6223116</c:v>
                </c:pt>
                <c:pt idx="5">
                  <c:v>1.6223116</c:v>
                </c:pt>
                <c:pt idx="6">
                  <c:v>1.6223116</c:v>
                </c:pt>
                <c:pt idx="7">
                  <c:v>1.6223116</c:v>
                </c:pt>
                <c:pt idx="8">
                  <c:v>1.6223116</c:v>
                </c:pt>
                <c:pt idx="9">
                  <c:v>1.6223116</c:v>
                </c:pt>
                <c:pt idx="10">
                  <c:v>1.6223116</c:v>
                </c:pt>
                <c:pt idx="11">
                  <c:v>1.6223116</c:v>
                </c:pt>
                <c:pt idx="12">
                  <c:v>1.6195412</c:v>
                </c:pt>
                <c:pt idx="13">
                  <c:v>1.6195412</c:v>
                </c:pt>
                <c:pt idx="14">
                  <c:v>1.6195412</c:v>
                </c:pt>
                <c:pt idx="15">
                  <c:v>1.6195412</c:v>
                </c:pt>
                <c:pt idx="16">
                  <c:v>1.8390358</c:v>
                </c:pt>
                <c:pt idx="17">
                  <c:v>1.8390172999999999</c:v>
                </c:pt>
                <c:pt idx="18">
                  <c:v>1.8390172999999999</c:v>
                </c:pt>
                <c:pt idx="19">
                  <c:v>0.36187279999999999</c:v>
                </c:pt>
                <c:pt idx="20">
                  <c:v>0.23692750000000001</c:v>
                </c:pt>
                <c:pt idx="21">
                  <c:v>0.47566329999999996</c:v>
                </c:pt>
                <c:pt idx="22">
                  <c:v>1.8472302</c:v>
                </c:pt>
                <c:pt idx="23">
                  <c:v>0.2093901</c:v>
                </c:pt>
                <c:pt idx="24">
                  <c:v>0.2093901</c:v>
                </c:pt>
                <c:pt idx="25">
                  <c:v>0.2093901</c:v>
                </c:pt>
                <c:pt idx="26">
                  <c:v>0.2093901</c:v>
                </c:pt>
                <c:pt idx="27">
                  <c:v>0.2093901</c:v>
                </c:pt>
                <c:pt idx="28">
                  <c:v>0.2093901</c:v>
                </c:pt>
                <c:pt idx="29">
                  <c:v>0.2093901</c:v>
                </c:pt>
                <c:pt idx="30">
                  <c:v>0.2093901</c:v>
                </c:pt>
                <c:pt idx="31">
                  <c:v>0.2093901</c:v>
                </c:pt>
                <c:pt idx="32">
                  <c:v>0.2093901</c:v>
                </c:pt>
                <c:pt idx="33">
                  <c:v>0.39321119999999998</c:v>
                </c:pt>
                <c:pt idx="34">
                  <c:v>0.1979745</c:v>
                </c:pt>
                <c:pt idx="35">
                  <c:v>0.39321119999999998</c:v>
                </c:pt>
                <c:pt idx="36">
                  <c:v>2.0083465999999999</c:v>
                </c:pt>
                <c:pt idx="37">
                  <c:v>0.39298139999999998</c:v>
                </c:pt>
                <c:pt idx="38">
                  <c:v>0.39296989999999998</c:v>
                </c:pt>
                <c:pt idx="39">
                  <c:v>0.37715290000000001</c:v>
                </c:pt>
                <c:pt idx="40">
                  <c:v>2.9259188999999997</c:v>
                </c:pt>
                <c:pt idx="41">
                  <c:v>0.3928816</c:v>
                </c:pt>
                <c:pt idx="42">
                  <c:v>0.2093901</c:v>
                </c:pt>
                <c:pt idx="43">
                  <c:v>0.22276390000000001</c:v>
                </c:pt>
                <c:pt idx="44">
                  <c:v>0.1665084</c:v>
                </c:pt>
                <c:pt idx="45">
                  <c:v>0.16714860000000001</c:v>
                </c:pt>
                <c:pt idx="46">
                  <c:v>0.22276390000000001</c:v>
                </c:pt>
                <c:pt idx="47">
                  <c:v>0.1670344</c:v>
                </c:pt>
                <c:pt idx="48">
                  <c:v>0.47533130000000001</c:v>
                </c:pt>
                <c:pt idx="49">
                  <c:v>3.0248523</c:v>
                </c:pt>
                <c:pt idx="50">
                  <c:v>0.64161760000000001</c:v>
                </c:pt>
                <c:pt idx="51">
                  <c:v>0.71175820000000001</c:v>
                </c:pt>
                <c:pt idx="52">
                  <c:v>0.16376250000000001</c:v>
                </c:pt>
                <c:pt idx="53">
                  <c:v>0.33756930000000002</c:v>
                </c:pt>
                <c:pt idx="54">
                  <c:v>0.37318649999999998</c:v>
                </c:pt>
                <c:pt idx="55">
                  <c:v>0.18233389999999999</c:v>
                </c:pt>
                <c:pt idx="56">
                  <c:v>0.3784459</c:v>
                </c:pt>
                <c:pt idx="57">
                  <c:v>0.37192789999999998</c:v>
                </c:pt>
                <c:pt idx="58">
                  <c:v>0.37153330000000001</c:v>
                </c:pt>
                <c:pt idx="59">
                  <c:v>2.0083465999999999</c:v>
                </c:pt>
                <c:pt idx="60">
                  <c:v>0.38980920000000002</c:v>
                </c:pt>
                <c:pt idx="61">
                  <c:v>0.38952950000000003</c:v>
                </c:pt>
                <c:pt idx="62">
                  <c:v>0.38298840000000001</c:v>
                </c:pt>
                <c:pt idx="63">
                  <c:v>0.37980900000000001</c:v>
                </c:pt>
                <c:pt idx="64">
                  <c:v>2.0083465999999999</c:v>
                </c:pt>
                <c:pt idx="65">
                  <c:v>0.34388079999999999</c:v>
                </c:pt>
                <c:pt idx="66">
                  <c:v>2.0083465999999999</c:v>
                </c:pt>
                <c:pt idx="67">
                  <c:v>0.34711959999999997</c:v>
                </c:pt>
                <c:pt idx="68">
                  <c:v>0.37324740000000001</c:v>
                </c:pt>
                <c:pt idx="69">
                  <c:v>0.21558249999999998</c:v>
                </c:pt>
                <c:pt idx="70">
                  <c:v>0.37405830000000001</c:v>
                </c:pt>
                <c:pt idx="71">
                  <c:v>1.4696222999999999</c:v>
                </c:pt>
                <c:pt idx="72">
                  <c:v>0.38411119999999999</c:v>
                </c:pt>
                <c:pt idx="73">
                  <c:v>0.38114369999999997</c:v>
                </c:pt>
                <c:pt idx="74">
                  <c:v>0.38259710000000002</c:v>
                </c:pt>
                <c:pt idx="75">
                  <c:v>0.38078060000000002</c:v>
                </c:pt>
                <c:pt idx="76">
                  <c:v>0.35822489999999996</c:v>
                </c:pt>
                <c:pt idx="77">
                  <c:v>0.35822489999999996</c:v>
                </c:pt>
                <c:pt idx="78">
                  <c:v>0.3787373</c:v>
                </c:pt>
                <c:pt idx="79">
                  <c:v>0.37213290000000004</c:v>
                </c:pt>
                <c:pt idx="80">
                  <c:v>0.37872349999999999</c:v>
                </c:pt>
                <c:pt idx="81">
                  <c:v>0.37858980000000003</c:v>
                </c:pt>
                <c:pt idx="82">
                  <c:v>0.37815540000000003</c:v>
                </c:pt>
                <c:pt idx="83">
                  <c:v>8.3095202999999991</c:v>
                </c:pt>
                <c:pt idx="84">
                  <c:v>0.3827699</c:v>
                </c:pt>
                <c:pt idx="85">
                  <c:v>0.35822489999999996</c:v>
                </c:pt>
                <c:pt idx="86">
                  <c:v>0.37417499999999998</c:v>
                </c:pt>
                <c:pt idx="87">
                  <c:v>0.37858649999999999</c:v>
                </c:pt>
                <c:pt idx="88">
                  <c:v>0.37858649999999999</c:v>
                </c:pt>
                <c:pt idx="89">
                  <c:v>0.37778249999999997</c:v>
                </c:pt>
                <c:pt idx="90">
                  <c:v>6.3628469000000001</c:v>
                </c:pt>
                <c:pt idx="91">
                  <c:v>0.3775329</c:v>
                </c:pt>
                <c:pt idx="92">
                  <c:v>0.35822489999999996</c:v>
                </c:pt>
                <c:pt idx="93">
                  <c:v>0.3775329</c:v>
                </c:pt>
                <c:pt idx="94">
                  <c:v>0.35822489999999996</c:v>
                </c:pt>
                <c:pt idx="95">
                  <c:v>0.35822489999999996</c:v>
                </c:pt>
                <c:pt idx="96">
                  <c:v>0.35822489999999996</c:v>
                </c:pt>
                <c:pt idx="97">
                  <c:v>0.35822489999999996</c:v>
                </c:pt>
                <c:pt idx="98">
                  <c:v>0.35822489999999996</c:v>
                </c:pt>
                <c:pt idx="99">
                  <c:v>0.35822489999999996</c:v>
                </c:pt>
                <c:pt idx="100">
                  <c:v>0.35822489999999996</c:v>
                </c:pt>
                <c:pt idx="101">
                  <c:v>0.37381920000000002</c:v>
                </c:pt>
                <c:pt idx="102">
                  <c:v>0.374668</c:v>
                </c:pt>
                <c:pt idx="103">
                  <c:v>0.37863059999999998</c:v>
                </c:pt>
                <c:pt idx="104">
                  <c:v>0.37733539999999999</c:v>
                </c:pt>
                <c:pt idx="105">
                  <c:v>0.37863059999999998</c:v>
                </c:pt>
                <c:pt idx="106">
                  <c:v>0.37863059999999998</c:v>
                </c:pt>
                <c:pt idx="107">
                  <c:v>0.37863059999999998</c:v>
                </c:pt>
                <c:pt idx="108">
                  <c:v>0.37863059999999998</c:v>
                </c:pt>
                <c:pt idx="109">
                  <c:v>0.37833560000000005</c:v>
                </c:pt>
                <c:pt idx="110">
                  <c:v>0.37868930000000001</c:v>
                </c:pt>
                <c:pt idx="111">
                  <c:v>0.37068870000000004</c:v>
                </c:pt>
                <c:pt idx="112">
                  <c:v>0.37169600000000003</c:v>
                </c:pt>
                <c:pt idx="113">
                  <c:v>0.37724409999999997</c:v>
                </c:pt>
                <c:pt idx="114">
                  <c:v>0.37872669999999997</c:v>
                </c:pt>
                <c:pt idx="115">
                  <c:v>0.37851010000000002</c:v>
                </c:pt>
                <c:pt idx="116">
                  <c:v>0.37820500000000001</c:v>
                </c:pt>
                <c:pt idx="117">
                  <c:v>0.37320500000000001</c:v>
                </c:pt>
                <c:pt idx="118">
                  <c:v>1.8248599999999999</c:v>
                </c:pt>
                <c:pt idx="119">
                  <c:v>0.17956520000000001</c:v>
                </c:pt>
                <c:pt idx="120">
                  <c:v>0.37980169999999996</c:v>
                </c:pt>
                <c:pt idx="121">
                  <c:v>5.0093699000000003</c:v>
                </c:pt>
                <c:pt idx="122">
                  <c:v>5.1257602000000002</c:v>
                </c:pt>
                <c:pt idx="123">
                  <c:v>1.8234139</c:v>
                </c:pt>
                <c:pt idx="124">
                  <c:v>1.8234139</c:v>
                </c:pt>
                <c:pt idx="125">
                  <c:v>1.8234139</c:v>
                </c:pt>
                <c:pt idx="126">
                  <c:v>0.24839070000000002</c:v>
                </c:pt>
                <c:pt idx="127">
                  <c:v>0.13105269999999999</c:v>
                </c:pt>
                <c:pt idx="128">
                  <c:v>1.6194256</c:v>
                </c:pt>
                <c:pt idx="129">
                  <c:v>1.8075511999999998</c:v>
                </c:pt>
                <c:pt idx="130">
                  <c:v>1.7430599999999998</c:v>
                </c:pt>
                <c:pt idx="131">
                  <c:v>1.7843420999999999</c:v>
                </c:pt>
                <c:pt idx="132">
                  <c:v>0.37572410000000001</c:v>
                </c:pt>
                <c:pt idx="133">
                  <c:v>0.30602640000000003</c:v>
                </c:pt>
                <c:pt idx="134">
                  <c:v>0.24833200000000002</c:v>
                </c:pt>
                <c:pt idx="135">
                  <c:v>1.1518374</c:v>
                </c:pt>
                <c:pt idx="136">
                  <c:v>1.7843420999999999</c:v>
                </c:pt>
                <c:pt idx="137">
                  <c:v>0.29264760000000001</c:v>
                </c:pt>
                <c:pt idx="138">
                  <c:v>1.8248599999999999</c:v>
                </c:pt>
                <c:pt idx="139">
                  <c:v>0.29264760000000001</c:v>
                </c:pt>
                <c:pt idx="140">
                  <c:v>2.2223842</c:v>
                </c:pt>
                <c:pt idx="141">
                  <c:v>1.8075511999999998</c:v>
                </c:pt>
                <c:pt idx="142">
                  <c:v>0.55976550000000003</c:v>
                </c:pt>
                <c:pt idx="143">
                  <c:v>1.570668</c:v>
                </c:pt>
                <c:pt idx="144">
                  <c:v>1.5797493</c:v>
                </c:pt>
                <c:pt idx="145">
                  <c:v>0.43118689999999998</c:v>
                </c:pt>
                <c:pt idx="146">
                  <c:v>0.38040300000000005</c:v>
                </c:pt>
                <c:pt idx="147">
                  <c:v>0.38102770000000002</c:v>
                </c:pt>
                <c:pt idx="148">
                  <c:v>0.38101230000000003</c:v>
                </c:pt>
                <c:pt idx="149">
                  <c:v>0.38005489999999997</c:v>
                </c:pt>
                <c:pt idx="150">
                  <c:v>1.8286274000000002</c:v>
                </c:pt>
                <c:pt idx="151">
                  <c:v>1.8286274000000002</c:v>
                </c:pt>
                <c:pt idx="152">
                  <c:v>1.8286274000000002</c:v>
                </c:pt>
                <c:pt idx="153">
                  <c:v>1.8286274000000002</c:v>
                </c:pt>
                <c:pt idx="154">
                  <c:v>1.7843420999999999</c:v>
                </c:pt>
                <c:pt idx="155">
                  <c:v>1.7843420999999999</c:v>
                </c:pt>
                <c:pt idx="156">
                  <c:v>1.7843420999999999</c:v>
                </c:pt>
                <c:pt idx="157">
                  <c:v>1.7843420999999999</c:v>
                </c:pt>
                <c:pt idx="158">
                  <c:v>1.7843420999999999</c:v>
                </c:pt>
                <c:pt idx="159">
                  <c:v>1.8047305</c:v>
                </c:pt>
                <c:pt idx="160">
                  <c:v>1.8047305</c:v>
                </c:pt>
                <c:pt idx="161">
                  <c:v>1.8059759999999998</c:v>
                </c:pt>
                <c:pt idx="162">
                  <c:v>0.37485810000000003</c:v>
                </c:pt>
                <c:pt idx="163">
                  <c:v>1.8068571</c:v>
                </c:pt>
                <c:pt idx="164">
                  <c:v>0.25061899999999998</c:v>
                </c:pt>
                <c:pt idx="165">
                  <c:v>0.38923800000000003</c:v>
                </c:pt>
                <c:pt idx="166">
                  <c:v>1.5924955000000001</c:v>
                </c:pt>
                <c:pt idx="167">
                  <c:v>1.7852840000000001</c:v>
                </c:pt>
                <c:pt idx="168">
                  <c:v>0.37726900000000002</c:v>
                </c:pt>
                <c:pt idx="169">
                  <c:v>0.37729960000000001</c:v>
                </c:pt>
                <c:pt idx="170">
                  <c:v>0.3728301</c:v>
                </c:pt>
                <c:pt idx="171">
                  <c:v>0.197986</c:v>
                </c:pt>
                <c:pt idx="172">
                  <c:v>2.0010072000000001</c:v>
                </c:pt>
                <c:pt idx="173">
                  <c:v>2.0009895000000002</c:v>
                </c:pt>
                <c:pt idx="174">
                  <c:v>2.0011095999999999</c:v>
                </c:pt>
                <c:pt idx="175">
                  <c:v>2.0011095999999999</c:v>
                </c:pt>
                <c:pt idx="176">
                  <c:v>2.0011095999999999</c:v>
                </c:pt>
                <c:pt idx="177">
                  <c:v>0.38150610000000001</c:v>
                </c:pt>
                <c:pt idx="178">
                  <c:v>0.38151810000000003</c:v>
                </c:pt>
                <c:pt idx="179">
                  <c:v>0.38152710000000001</c:v>
                </c:pt>
                <c:pt idx="180">
                  <c:v>0.41576350000000001</c:v>
                </c:pt>
                <c:pt idx="181">
                  <c:v>0.59701369999999998</c:v>
                </c:pt>
                <c:pt idx="182">
                  <c:v>2.7193432</c:v>
                </c:pt>
                <c:pt idx="183">
                  <c:v>2.7193432</c:v>
                </c:pt>
                <c:pt idx="184">
                  <c:v>1.9968513999999999</c:v>
                </c:pt>
                <c:pt idx="185">
                  <c:v>1.9968513999999999</c:v>
                </c:pt>
                <c:pt idx="186">
                  <c:v>1.9968513999999999</c:v>
                </c:pt>
                <c:pt idx="187">
                  <c:v>1.9968513999999999</c:v>
                </c:pt>
                <c:pt idx="188">
                  <c:v>1.9954927</c:v>
                </c:pt>
                <c:pt idx="189">
                  <c:v>0.87314619999999998</c:v>
                </c:pt>
                <c:pt idx="190">
                  <c:v>2.2246417000000003</c:v>
                </c:pt>
                <c:pt idx="191">
                  <c:v>2.2230083</c:v>
                </c:pt>
                <c:pt idx="192">
                  <c:v>1.8183393000000001</c:v>
                </c:pt>
                <c:pt idx="193">
                  <c:v>1.5529875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xVal>
          <c:yVal>
            <c:numRef>
              <c:f>'Time Plot'!$G$3:$G$199</c:f>
              <c:numCache>
                <c:formatCode>General</c:formatCode>
                <c:ptCount val="197"/>
                <c:pt idx="0">
                  <c:v>1.9777340000000001</c:v>
                </c:pt>
                <c:pt idx="1">
                  <c:v>1.9777340000000001</c:v>
                </c:pt>
                <c:pt idx="2">
                  <c:v>1.9777340000000001</c:v>
                </c:pt>
                <c:pt idx="3">
                  <c:v>2.3796233999999998</c:v>
                </c:pt>
                <c:pt idx="4">
                  <c:v>2.3796233999999998</c:v>
                </c:pt>
                <c:pt idx="5">
                  <c:v>2.3796233999999998</c:v>
                </c:pt>
                <c:pt idx="6">
                  <c:v>2.3796233999999998</c:v>
                </c:pt>
                <c:pt idx="7">
                  <c:v>2.3796233999999998</c:v>
                </c:pt>
                <c:pt idx="8">
                  <c:v>2.3796233999999998</c:v>
                </c:pt>
                <c:pt idx="9">
                  <c:v>2.3796233999999998</c:v>
                </c:pt>
                <c:pt idx="10">
                  <c:v>2.3796233999999998</c:v>
                </c:pt>
                <c:pt idx="11">
                  <c:v>2.3796233999999998</c:v>
                </c:pt>
                <c:pt idx="12">
                  <c:v>2.3837083999999997</c:v>
                </c:pt>
                <c:pt idx="13">
                  <c:v>2.3837083999999997</c:v>
                </c:pt>
                <c:pt idx="14">
                  <c:v>2.3837083999999997</c:v>
                </c:pt>
                <c:pt idx="15">
                  <c:v>2.3837083999999997</c:v>
                </c:pt>
                <c:pt idx="19">
                  <c:v>2.5382304000000002</c:v>
                </c:pt>
                <c:pt idx="21">
                  <c:v>2.4893141000000001</c:v>
                </c:pt>
                <c:pt idx="22">
                  <c:v>1.9537781999999999</c:v>
                </c:pt>
                <c:pt idx="23">
                  <c:v>2.4712694000000002</c:v>
                </c:pt>
                <c:pt idx="24">
                  <c:v>2.4712694000000002</c:v>
                </c:pt>
                <c:pt idx="25">
                  <c:v>2.4712694000000002</c:v>
                </c:pt>
                <c:pt idx="26">
                  <c:v>2.4712694000000002</c:v>
                </c:pt>
                <c:pt idx="27">
                  <c:v>2.4712694000000002</c:v>
                </c:pt>
                <c:pt idx="28">
                  <c:v>2.4712694000000002</c:v>
                </c:pt>
                <c:pt idx="29">
                  <c:v>2.4712694000000002</c:v>
                </c:pt>
                <c:pt idx="30">
                  <c:v>2.4712694000000002</c:v>
                </c:pt>
                <c:pt idx="31">
                  <c:v>2.4712694000000002</c:v>
                </c:pt>
                <c:pt idx="32">
                  <c:v>2.4712694000000002</c:v>
                </c:pt>
                <c:pt idx="33">
                  <c:v>2.5938758000000002</c:v>
                </c:pt>
                <c:pt idx="34">
                  <c:v>2.4297741999999998</c:v>
                </c:pt>
                <c:pt idx="35">
                  <c:v>2.5938758000000002</c:v>
                </c:pt>
                <c:pt idx="36">
                  <c:v>2.2545776000000002</c:v>
                </c:pt>
                <c:pt idx="37">
                  <c:v>2.5932545999999999</c:v>
                </c:pt>
                <c:pt idx="38">
                  <c:v>2.5931047</c:v>
                </c:pt>
                <c:pt idx="40">
                  <c:v>3.4107308999999999</c:v>
                </c:pt>
                <c:pt idx="41">
                  <c:v>2.5932327000000002</c:v>
                </c:pt>
                <c:pt idx="42">
                  <c:v>2.4712694000000002</c:v>
                </c:pt>
                <c:pt idx="43">
                  <c:v>2.4537973000000002</c:v>
                </c:pt>
                <c:pt idx="44">
                  <c:v>2.4265479000000001</c:v>
                </c:pt>
                <c:pt idx="45">
                  <c:v>2.4264999</c:v>
                </c:pt>
                <c:pt idx="46">
                  <c:v>2.4537973000000002</c:v>
                </c:pt>
                <c:pt idx="47">
                  <c:v>2.4262158999999999</c:v>
                </c:pt>
                <c:pt idx="48">
                  <c:v>2.4856972000000002</c:v>
                </c:pt>
                <c:pt idx="49">
                  <c:v>3.3969737000000002</c:v>
                </c:pt>
                <c:pt idx="50">
                  <c:v>2.4886081999999998</c:v>
                </c:pt>
                <c:pt idx="52">
                  <c:v>2.4604965000000001</c:v>
                </c:pt>
                <c:pt idx="55">
                  <c:v>2.4257192000000001</c:v>
                </c:pt>
                <c:pt idx="59">
                  <c:v>2.2545776000000002</c:v>
                </c:pt>
                <c:pt idx="64">
                  <c:v>2.2545776000000002</c:v>
                </c:pt>
                <c:pt idx="65">
                  <c:v>2.6402307999999999</c:v>
                </c:pt>
                <c:pt idx="66">
                  <c:v>2.2545776000000002</c:v>
                </c:pt>
                <c:pt idx="67">
                  <c:v>2.6507786000000002</c:v>
                </c:pt>
                <c:pt idx="69">
                  <c:v>2.4685307000000001</c:v>
                </c:pt>
                <c:pt idx="83">
                  <c:v>2.2980099999999997</c:v>
                </c:pt>
                <c:pt idx="85">
                  <c:v>2.6869455000000002</c:v>
                </c:pt>
                <c:pt idx="118">
                  <c:v>2.2497099999999999</c:v>
                </c:pt>
                <c:pt idx="121">
                  <c:v>2.4907827</c:v>
                </c:pt>
                <c:pt idx="122">
                  <c:v>2.3281989000000003</c:v>
                </c:pt>
                <c:pt idx="123">
                  <c:v>1.9945028999999999</c:v>
                </c:pt>
                <c:pt idx="124">
                  <c:v>1.9945028999999999</c:v>
                </c:pt>
                <c:pt idx="125">
                  <c:v>1.9945028999999999</c:v>
                </c:pt>
                <c:pt idx="129">
                  <c:v>2.2736353999999999</c:v>
                </c:pt>
                <c:pt idx="130">
                  <c:v>2.3015300999999999</c:v>
                </c:pt>
                <c:pt idx="131">
                  <c:v>2.2854196999999998</c:v>
                </c:pt>
                <c:pt idx="135">
                  <c:v>2.3011446000000002</c:v>
                </c:pt>
                <c:pt idx="136">
                  <c:v>2.2854196999999998</c:v>
                </c:pt>
                <c:pt idx="137">
                  <c:v>2.4919161999999999</c:v>
                </c:pt>
                <c:pt idx="138">
                  <c:v>2.2497099999999999</c:v>
                </c:pt>
                <c:pt idx="139">
                  <c:v>2.4919161999999999</c:v>
                </c:pt>
                <c:pt idx="141">
                  <c:v>2.2736353999999999</c:v>
                </c:pt>
                <c:pt idx="142">
                  <c:v>2.5683802</c:v>
                </c:pt>
                <c:pt idx="143">
                  <c:v>2.3406250000000002</c:v>
                </c:pt>
                <c:pt idx="144">
                  <c:v>2.3439596000000003</c:v>
                </c:pt>
                <c:pt idx="145">
                  <c:v>2.6221288999999999</c:v>
                </c:pt>
                <c:pt idx="154">
                  <c:v>2.2854196999999998</c:v>
                </c:pt>
                <c:pt idx="155">
                  <c:v>2.2854196999999998</c:v>
                </c:pt>
                <c:pt idx="156">
                  <c:v>2.2854196999999998</c:v>
                </c:pt>
                <c:pt idx="157">
                  <c:v>2.2854196999999998</c:v>
                </c:pt>
                <c:pt idx="158">
                  <c:v>2.2854196999999998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07-4B6F-92E8-7453822E9D70}"/>
            </c:ext>
          </c:extLst>
        </c:ser>
        <c:ser>
          <c:idx val="1"/>
          <c:order val="1"/>
          <c:tx>
            <c:strRef>
              <c:f>'Time Plot'!$H$2</c:f>
              <c:strCache>
                <c:ptCount val="1"/>
                <c:pt idx="0">
                  <c:v>MTF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'Time Plot'!$F$3:$F$199</c:f>
              <c:numCache>
                <c:formatCode>General</c:formatCode>
                <c:ptCount val="197"/>
                <c:pt idx="0">
                  <c:v>1.5335681000000001</c:v>
                </c:pt>
                <c:pt idx="1">
                  <c:v>1.5335681000000001</c:v>
                </c:pt>
                <c:pt idx="2">
                  <c:v>1.5335681000000001</c:v>
                </c:pt>
                <c:pt idx="3">
                  <c:v>1.6223116</c:v>
                </c:pt>
                <c:pt idx="4">
                  <c:v>1.6223116</c:v>
                </c:pt>
                <c:pt idx="5">
                  <c:v>1.6223116</c:v>
                </c:pt>
                <c:pt idx="6">
                  <c:v>1.6223116</c:v>
                </c:pt>
                <c:pt idx="7">
                  <c:v>1.6223116</c:v>
                </c:pt>
                <c:pt idx="8">
                  <c:v>1.6223116</c:v>
                </c:pt>
                <c:pt idx="9">
                  <c:v>1.6223116</c:v>
                </c:pt>
                <c:pt idx="10">
                  <c:v>1.6223116</c:v>
                </c:pt>
                <c:pt idx="11">
                  <c:v>1.6223116</c:v>
                </c:pt>
                <c:pt idx="12">
                  <c:v>1.6195412</c:v>
                </c:pt>
                <c:pt idx="13">
                  <c:v>1.6195412</c:v>
                </c:pt>
                <c:pt idx="14">
                  <c:v>1.6195412</c:v>
                </c:pt>
                <c:pt idx="15">
                  <c:v>1.6195412</c:v>
                </c:pt>
                <c:pt idx="16">
                  <c:v>1.8390358</c:v>
                </c:pt>
                <c:pt idx="17">
                  <c:v>1.8390172999999999</c:v>
                </c:pt>
                <c:pt idx="18">
                  <c:v>1.8390172999999999</c:v>
                </c:pt>
                <c:pt idx="19">
                  <c:v>0.36187279999999999</c:v>
                </c:pt>
                <c:pt idx="20">
                  <c:v>0.23692750000000001</c:v>
                </c:pt>
                <c:pt idx="21">
                  <c:v>0.47566329999999996</c:v>
                </c:pt>
                <c:pt idx="22">
                  <c:v>1.8472302</c:v>
                </c:pt>
                <c:pt idx="23">
                  <c:v>0.2093901</c:v>
                </c:pt>
                <c:pt idx="24">
                  <c:v>0.2093901</c:v>
                </c:pt>
                <c:pt idx="25">
                  <c:v>0.2093901</c:v>
                </c:pt>
                <c:pt idx="26">
                  <c:v>0.2093901</c:v>
                </c:pt>
                <c:pt idx="27">
                  <c:v>0.2093901</c:v>
                </c:pt>
                <c:pt idx="28">
                  <c:v>0.2093901</c:v>
                </c:pt>
                <c:pt idx="29">
                  <c:v>0.2093901</c:v>
                </c:pt>
                <c:pt idx="30">
                  <c:v>0.2093901</c:v>
                </c:pt>
                <c:pt idx="31">
                  <c:v>0.2093901</c:v>
                </c:pt>
                <c:pt idx="32">
                  <c:v>0.2093901</c:v>
                </c:pt>
                <c:pt idx="33">
                  <c:v>0.39321119999999998</c:v>
                </c:pt>
                <c:pt idx="34">
                  <c:v>0.1979745</c:v>
                </c:pt>
                <c:pt idx="35">
                  <c:v>0.39321119999999998</c:v>
                </c:pt>
                <c:pt idx="36">
                  <c:v>2.0083465999999999</c:v>
                </c:pt>
                <c:pt idx="37">
                  <c:v>0.39298139999999998</c:v>
                </c:pt>
                <c:pt idx="38">
                  <c:v>0.39296989999999998</c:v>
                </c:pt>
                <c:pt idx="39">
                  <c:v>0.37715290000000001</c:v>
                </c:pt>
                <c:pt idx="40">
                  <c:v>2.9259188999999997</c:v>
                </c:pt>
                <c:pt idx="41">
                  <c:v>0.3928816</c:v>
                </c:pt>
                <c:pt idx="42">
                  <c:v>0.2093901</c:v>
                </c:pt>
                <c:pt idx="43">
                  <c:v>0.22276390000000001</c:v>
                </c:pt>
                <c:pt idx="44">
                  <c:v>0.1665084</c:v>
                </c:pt>
                <c:pt idx="45">
                  <c:v>0.16714860000000001</c:v>
                </c:pt>
                <c:pt idx="46">
                  <c:v>0.22276390000000001</c:v>
                </c:pt>
                <c:pt idx="47">
                  <c:v>0.1670344</c:v>
                </c:pt>
                <c:pt idx="48">
                  <c:v>0.47533130000000001</c:v>
                </c:pt>
                <c:pt idx="49">
                  <c:v>3.0248523</c:v>
                </c:pt>
                <c:pt idx="50">
                  <c:v>0.64161760000000001</c:v>
                </c:pt>
                <c:pt idx="51">
                  <c:v>0.71175820000000001</c:v>
                </c:pt>
                <c:pt idx="52">
                  <c:v>0.16376250000000001</c:v>
                </c:pt>
                <c:pt idx="53">
                  <c:v>0.33756930000000002</c:v>
                </c:pt>
                <c:pt idx="54">
                  <c:v>0.37318649999999998</c:v>
                </c:pt>
                <c:pt idx="55">
                  <c:v>0.18233389999999999</c:v>
                </c:pt>
                <c:pt idx="56">
                  <c:v>0.3784459</c:v>
                </c:pt>
                <c:pt idx="57">
                  <c:v>0.37192789999999998</c:v>
                </c:pt>
                <c:pt idx="58">
                  <c:v>0.37153330000000001</c:v>
                </c:pt>
                <c:pt idx="59">
                  <c:v>2.0083465999999999</c:v>
                </c:pt>
                <c:pt idx="60">
                  <c:v>0.38980920000000002</c:v>
                </c:pt>
                <c:pt idx="61">
                  <c:v>0.38952950000000003</c:v>
                </c:pt>
                <c:pt idx="62">
                  <c:v>0.38298840000000001</c:v>
                </c:pt>
                <c:pt idx="63">
                  <c:v>0.37980900000000001</c:v>
                </c:pt>
                <c:pt idx="64">
                  <c:v>2.0083465999999999</c:v>
                </c:pt>
                <c:pt idx="65">
                  <c:v>0.34388079999999999</c:v>
                </c:pt>
                <c:pt idx="66">
                  <c:v>2.0083465999999999</c:v>
                </c:pt>
                <c:pt idx="67">
                  <c:v>0.34711959999999997</c:v>
                </c:pt>
                <c:pt idx="68">
                  <c:v>0.37324740000000001</c:v>
                </c:pt>
                <c:pt idx="69">
                  <c:v>0.21558249999999998</c:v>
                </c:pt>
                <c:pt idx="70">
                  <c:v>0.37405830000000001</c:v>
                </c:pt>
                <c:pt idx="71">
                  <c:v>1.4696222999999999</c:v>
                </c:pt>
                <c:pt idx="72">
                  <c:v>0.38411119999999999</c:v>
                </c:pt>
                <c:pt idx="73">
                  <c:v>0.38114369999999997</c:v>
                </c:pt>
                <c:pt idx="74">
                  <c:v>0.38259710000000002</c:v>
                </c:pt>
                <c:pt idx="75">
                  <c:v>0.38078060000000002</c:v>
                </c:pt>
                <c:pt idx="76">
                  <c:v>0.35822489999999996</c:v>
                </c:pt>
                <c:pt idx="77">
                  <c:v>0.35822489999999996</c:v>
                </c:pt>
                <c:pt idx="78">
                  <c:v>0.3787373</c:v>
                </c:pt>
                <c:pt idx="79">
                  <c:v>0.37213290000000004</c:v>
                </c:pt>
                <c:pt idx="80">
                  <c:v>0.37872349999999999</c:v>
                </c:pt>
                <c:pt idx="81">
                  <c:v>0.37858980000000003</c:v>
                </c:pt>
                <c:pt idx="82">
                  <c:v>0.37815540000000003</c:v>
                </c:pt>
                <c:pt idx="83">
                  <c:v>8.3095202999999991</c:v>
                </c:pt>
                <c:pt idx="84">
                  <c:v>0.3827699</c:v>
                </c:pt>
                <c:pt idx="85">
                  <c:v>0.35822489999999996</c:v>
                </c:pt>
                <c:pt idx="86">
                  <c:v>0.37417499999999998</c:v>
                </c:pt>
                <c:pt idx="87">
                  <c:v>0.37858649999999999</c:v>
                </c:pt>
                <c:pt idx="88">
                  <c:v>0.37858649999999999</c:v>
                </c:pt>
                <c:pt idx="89">
                  <c:v>0.37778249999999997</c:v>
                </c:pt>
                <c:pt idx="90">
                  <c:v>6.3628469000000001</c:v>
                </c:pt>
                <c:pt idx="91">
                  <c:v>0.3775329</c:v>
                </c:pt>
                <c:pt idx="92">
                  <c:v>0.35822489999999996</c:v>
                </c:pt>
                <c:pt idx="93">
                  <c:v>0.3775329</c:v>
                </c:pt>
                <c:pt idx="94">
                  <c:v>0.35822489999999996</c:v>
                </c:pt>
                <c:pt idx="95">
                  <c:v>0.35822489999999996</c:v>
                </c:pt>
                <c:pt idx="96">
                  <c:v>0.35822489999999996</c:v>
                </c:pt>
                <c:pt idx="97">
                  <c:v>0.35822489999999996</c:v>
                </c:pt>
                <c:pt idx="98">
                  <c:v>0.35822489999999996</c:v>
                </c:pt>
                <c:pt idx="99">
                  <c:v>0.35822489999999996</c:v>
                </c:pt>
                <c:pt idx="100">
                  <c:v>0.35822489999999996</c:v>
                </c:pt>
                <c:pt idx="101">
                  <c:v>0.37381920000000002</c:v>
                </c:pt>
                <c:pt idx="102">
                  <c:v>0.374668</c:v>
                </c:pt>
                <c:pt idx="103">
                  <c:v>0.37863059999999998</c:v>
                </c:pt>
                <c:pt idx="104">
                  <c:v>0.37733539999999999</c:v>
                </c:pt>
                <c:pt idx="105">
                  <c:v>0.37863059999999998</c:v>
                </c:pt>
                <c:pt idx="106">
                  <c:v>0.37863059999999998</c:v>
                </c:pt>
                <c:pt idx="107">
                  <c:v>0.37863059999999998</c:v>
                </c:pt>
                <c:pt idx="108">
                  <c:v>0.37863059999999998</c:v>
                </c:pt>
                <c:pt idx="109">
                  <c:v>0.37833560000000005</c:v>
                </c:pt>
                <c:pt idx="110">
                  <c:v>0.37868930000000001</c:v>
                </c:pt>
                <c:pt idx="111">
                  <c:v>0.37068870000000004</c:v>
                </c:pt>
                <c:pt idx="112">
                  <c:v>0.37169600000000003</c:v>
                </c:pt>
                <c:pt idx="113">
                  <c:v>0.37724409999999997</c:v>
                </c:pt>
                <c:pt idx="114">
                  <c:v>0.37872669999999997</c:v>
                </c:pt>
                <c:pt idx="115">
                  <c:v>0.37851010000000002</c:v>
                </c:pt>
                <c:pt idx="116">
                  <c:v>0.37820500000000001</c:v>
                </c:pt>
                <c:pt idx="117">
                  <c:v>0.37320500000000001</c:v>
                </c:pt>
                <c:pt idx="118">
                  <c:v>1.8248599999999999</c:v>
                </c:pt>
                <c:pt idx="119">
                  <c:v>0.17956520000000001</c:v>
                </c:pt>
                <c:pt idx="120">
                  <c:v>0.37980169999999996</c:v>
                </c:pt>
                <c:pt idx="121">
                  <c:v>5.0093699000000003</c:v>
                </c:pt>
                <c:pt idx="122">
                  <c:v>5.1257602000000002</c:v>
                </c:pt>
                <c:pt idx="123">
                  <c:v>1.8234139</c:v>
                </c:pt>
                <c:pt idx="124">
                  <c:v>1.8234139</c:v>
                </c:pt>
                <c:pt idx="125">
                  <c:v>1.8234139</c:v>
                </c:pt>
                <c:pt idx="126">
                  <c:v>0.24839070000000002</c:v>
                </c:pt>
                <c:pt idx="127">
                  <c:v>0.13105269999999999</c:v>
                </c:pt>
                <c:pt idx="128">
                  <c:v>1.6194256</c:v>
                </c:pt>
                <c:pt idx="129">
                  <c:v>1.8075511999999998</c:v>
                </c:pt>
                <c:pt idx="130">
                  <c:v>1.7430599999999998</c:v>
                </c:pt>
                <c:pt idx="131">
                  <c:v>1.7843420999999999</c:v>
                </c:pt>
                <c:pt idx="132">
                  <c:v>0.37572410000000001</c:v>
                </c:pt>
                <c:pt idx="133">
                  <c:v>0.30602640000000003</c:v>
                </c:pt>
                <c:pt idx="134">
                  <c:v>0.24833200000000002</c:v>
                </c:pt>
                <c:pt idx="135">
                  <c:v>1.1518374</c:v>
                </c:pt>
                <c:pt idx="136">
                  <c:v>1.7843420999999999</c:v>
                </c:pt>
                <c:pt idx="137">
                  <c:v>0.29264760000000001</c:v>
                </c:pt>
                <c:pt idx="138">
                  <c:v>1.8248599999999999</c:v>
                </c:pt>
                <c:pt idx="139">
                  <c:v>0.29264760000000001</c:v>
                </c:pt>
                <c:pt idx="140">
                  <c:v>2.2223842</c:v>
                </c:pt>
                <c:pt idx="141">
                  <c:v>1.8075511999999998</c:v>
                </c:pt>
                <c:pt idx="142">
                  <c:v>0.55976550000000003</c:v>
                </c:pt>
                <c:pt idx="143">
                  <c:v>1.570668</c:v>
                </c:pt>
                <c:pt idx="144">
                  <c:v>1.5797493</c:v>
                </c:pt>
                <c:pt idx="145">
                  <c:v>0.43118689999999998</c:v>
                </c:pt>
                <c:pt idx="146">
                  <c:v>0.38040300000000005</c:v>
                </c:pt>
                <c:pt idx="147">
                  <c:v>0.38102770000000002</c:v>
                </c:pt>
                <c:pt idx="148">
                  <c:v>0.38101230000000003</c:v>
                </c:pt>
                <c:pt idx="149">
                  <c:v>0.38005489999999997</c:v>
                </c:pt>
                <c:pt idx="150">
                  <c:v>1.8286274000000002</c:v>
                </c:pt>
                <c:pt idx="151">
                  <c:v>1.8286274000000002</c:v>
                </c:pt>
                <c:pt idx="152">
                  <c:v>1.8286274000000002</c:v>
                </c:pt>
                <c:pt idx="153">
                  <c:v>1.8286274000000002</c:v>
                </c:pt>
                <c:pt idx="154">
                  <c:v>1.7843420999999999</c:v>
                </c:pt>
                <c:pt idx="155">
                  <c:v>1.7843420999999999</c:v>
                </c:pt>
                <c:pt idx="156">
                  <c:v>1.7843420999999999</c:v>
                </c:pt>
                <c:pt idx="157">
                  <c:v>1.7843420999999999</c:v>
                </c:pt>
                <c:pt idx="158">
                  <c:v>1.7843420999999999</c:v>
                </c:pt>
                <c:pt idx="159">
                  <c:v>1.8047305</c:v>
                </c:pt>
                <c:pt idx="160">
                  <c:v>1.8047305</c:v>
                </c:pt>
                <c:pt idx="161">
                  <c:v>1.8059759999999998</c:v>
                </c:pt>
                <c:pt idx="162">
                  <c:v>0.37485810000000003</c:v>
                </c:pt>
                <c:pt idx="163">
                  <c:v>1.8068571</c:v>
                </c:pt>
                <c:pt idx="164">
                  <c:v>0.25061899999999998</c:v>
                </c:pt>
                <c:pt idx="165">
                  <c:v>0.38923800000000003</c:v>
                </c:pt>
                <c:pt idx="166">
                  <c:v>1.5924955000000001</c:v>
                </c:pt>
                <c:pt idx="167">
                  <c:v>1.7852840000000001</c:v>
                </c:pt>
                <c:pt idx="168">
                  <c:v>0.37726900000000002</c:v>
                </c:pt>
                <c:pt idx="169">
                  <c:v>0.37729960000000001</c:v>
                </c:pt>
                <c:pt idx="170">
                  <c:v>0.3728301</c:v>
                </c:pt>
                <c:pt idx="171">
                  <c:v>0.197986</c:v>
                </c:pt>
                <c:pt idx="172">
                  <c:v>2.0010072000000001</c:v>
                </c:pt>
                <c:pt idx="173">
                  <c:v>2.0009895000000002</c:v>
                </c:pt>
                <c:pt idx="174">
                  <c:v>2.0011095999999999</c:v>
                </c:pt>
                <c:pt idx="175">
                  <c:v>2.0011095999999999</c:v>
                </c:pt>
                <c:pt idx="176">
                  <c:v>2.0011095999999999</c:v>
                </c:pt>
                <c:pt idx="177">
                  <c:v>0.38150610000000001</c:v>
                </c:pt>
                <c:pt idx="178">
                  <c:v>0.38151810000000003</c:v>
                </c:pt>
                <c:pt idx="179">
                  <c:v>0.38152710000000001</c:v>
                </c:pt>
                <c:pt idx="180">
                  <c:v>0.41576350000000001</c:v>
                </c:pt>
                <c:pt idx="181">
                  <c:v>0.59701369999999998</c:v>
                </c:pt>
                <c:pt idx="182">
                  <c:v>2.7193432</c:v>
                </c:pt>
                <c:pt idx="183">
                  <c:v>2.7193432</c:v>
                </c:pt>
                <c:pt idx="184">
                  <c:v>1.9968513999999999</c:v>
                </c:pt>
                <c:pt idx="185">
                  <c:v>1.9968513999999999</c:v>
                </c:pt>
                <c:pt idx="186">
                  <c:v>1.9968513999999999</c:v>
                </c:pt>
                <c:pt idx="187">
                  <c:v>1.9968513999999999</c:v>
                </c:pt>
                <c:pt idx="188">
                  <c:v>1.9954927</c:v>
                </c:pt>
                <c:pt idx="189">
                  <c:v>0.87314619999999998</c:v>
                </c:pt>
                <c:pt idx="190">
                  <c:v>2.2246417000000003</c:v>
                </c:pt>
                <c:pt idx="191">
                  <c:v>2.2230083</c:v>
                </c:pt>
                <c:pt idx="192">
                  <c:v>1.8183393000000001</c:v>
                </c:pt>
                <c:pt idx="193">
                  <c:v>1.5529875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xVal>
          <c:yVal>
            <c:numRef>
              <c:f>'Time Plot'!$H$3:$H$199</c:f>
              <c:numCache>
                <c:formatCode>General</c:formatCode>
                <c:ptCount val="197"/>
                <c:pt idx="16">
                  <c:v>1.9654541000000001</c:v>
                </c:pt>
                <c:pt idx="17">
                  <c:v>1.9657116999999997</c:v>
                </c:pt>
                <c:pt idx="18">
                  <c:v>1.9657116999999997</c:v>
                </c:pt>
                <c:pt idx="20">
                  <c:v>2.4902243999999998</c:v>
                </c:pt>
                <c:pt idx="51">
                  <c:v>2.4773171999999999</c:v>
                </c:pt>
                <c:pt idx="53">
                  <c:v>2.6664105</c:v>
                </c:pt>
                <c:pt idx="71">
                  <c:v>2.3188098999999998</c:v>
                </c:pt>
                <c:pt idx="76">
                  <c:v>2.6869455000000002</c:v>
                </c:pt>
                <c:pt idx="77">
                  <c:v>2.6869455000000002</c:v>
                </c:pt>
                <c:pt idx="78">
                  <c:v>2.6621508</c:v>
                </c:pt>
                <c:pt idx="88">
                  <c:v>2.6615540000000002</c:v>
                </c:pt>
                <c:pt idx="90">
                  <c:v>0.47522209999999998</c:v>
                </c:pt>
                <c:pt idx="94">
                  <c:v>2.6869455000000002</c:v>
                </c:pt>
                <c:pt idx="96">
                  <c:v>2.6869455000000002</c:v>
                </c:pt>
                <c:pt idx="97">
                  <c:v>2.6869455000000002</c:v>
                </c:pt>
                <c:pt idx="98">
                  <c:v>2.6869455000000002</c:v>
                </c:pt>
                <c:pt idx="99">
                  <c:v>2.6869455000000002</c:v>
                </c:pt>
                <c:pt idx="100">
                  <c:v>2.6869455000000002</c:v>
                </c:pt>
                <c:pt idx="119">
                  <c:v>2.389812</c:v>
                </c:pt>
                <c:pt idx="126">
                  <c:v>2.4133794000000002</c:v>
                </c:pt>
                <c:pt idx="127">
                  <c:v>2.4030191999999997</c:v>
                </c:pt>
                <c:pt idx="128">
                  <c:v>2.2857175999999999</c:v>
                </c:pt>
                <c:pt idx="133">
                  <c:v>2.6205362999999999</c:v>
                </c:pt>
                <c:pt idx="134">
                  <c:v>2.6120400000000004</c:v>
                </c:pt>
                <c:pt idx="140">
                  <c:v>1.7421352999999999</c:v>
                </c:pt>
                <c:pt idx="150">
                  <c:v>2.2484726999999998</c:v>
                </c:pt>
                <c:pt idx="151">
                  <c:v>2.2484726999999998</c:v>
                </c:pt>
                <c:pt idx="152">
                  <c:v>2.2484726999999998</c:v>
                </c:pt>
                <c:pt idx="153">
                  <c:v>2.2484726999999998</c:v>
                </c:pt>
                <c:pt idx="159">
                  <c:v>2.2718514000000001</c:v>
                </c:pt>
                <c:pt idx="160">
                  <c:v>2.2718514000000001</c:v>
                </c:pt>
                <c:pt idx="161">
                  <c:v>2.2730196</c:v>
                </c:pt>
                <c:pt idx="163">
                  <c:v>2.272437</c:v>
                </c:pt>
                <c:pt idx="164">
                  <c:v>2.6126198999999999</c:v>
                </c:pt>
                <c:pt idx="166">
                  <c:v>2.3420577000000002</c:v>
                </c:pt>
                <c:pt idx="167">
                  <c:v>2.2847477</c:v>
                </c:pt>
                <c:pt idx="171">
                  <c:v>2.4298801000000001</c:v>
                </c:pt>
                <c:pt idx="172">
                  <c:v>2.2492153999999998</c:v>
                </c:pt>
                <c:pt idx="173">
                  <c:v>2.2492488000000002</c:v>
                </c:pt>
                <c:pt idx="174">
                  <c:v>2.2490177</c:v>
                </c:pt>
                <c:pt idx="175">
                  <c:v>2.2490177</c:v>
                </c:pt>
                <c:pt idx="176">
                  <c:v>2.2490177</c:v>
                </c:pt>
                <c:pt idx="182">
                  <c:v>1.9961475</c:v>
                </c:pt>
                <c:pt idx="183">
                  <c:v>1.9961475</c:v>
                </c:pt>
                <c:pt idx="184">
                  <c:v>2.2470383000000003</c:v>
                </c:pt>
                <c:pt idx="185">
                  <c:v>2.2470383000000003</c:v>
                </c:pt>
                <c:pt idx="186">
                  <c:v>2.2470383000000003</c:v>
                </c:pt>
                <c:pt idx="187">
                  <c:v>2.2470383000000003</c:v>
                </c:pt>
                <c:pt idx="188">
                  <c:v>2.2301058</c:v>
                </c:pt>
                <c:pt idx="189">
                  <c:v>2.4314911000000001</c:v>
                </c:pt>
                <c:pt idx="190">
                  <c:v>1.7419264999999999</c:v>
                </c:pt>
                <c:pt idx="191">
                  <c:v>1.7419696</c:v>
                </c:pt>
                <c:pt idx="192">
                  <c:v>2.4684121000000001</c:v>
                </c:pt>
                <c:pt idx="193">
                  <c:v>2.2773916999999999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07-4B6F-92E8-7453822E9D70}"/>
            </c:ext>
          </c:extLst>
        </c:ser>
        <c:ser>
          <c:idx val="2"/>
          <c:order val="2"/>
          <c:tx>
            <c:strRef>
              <c:f>'Time Plot'!$I$2</c:f>
              <c:strCache>
                <c:ptCount val="1"/>
                <c:pt idx="0">
                  <c:v>CSH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3"/>
            <c:spPr>
              <a:solidFill>
                <a:srgbClr val="FFFF00"/>
              </a:solidFill>
              <a:ln>
                <a:solidFill>
                  <a:srgbClr val="8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'Time Plot'!$F$3:$F$199</c:f>
              <c:numCache>
                <c:formatCode>General</c:formatCode>
                <c:ptCount val="197"/>
                <c:pt idx="0">
                  <c:v>1.5335681000000001</c:v>
                </c:pt>
                <c:pt idx="1">
                  <c:v>1.5335681000000001</c:v>
                </c:pt>
                <c:pt idx="2">
                  <c:v>1.5335681000000001</c:v>
                </c:pt>
                <c:pt idx="3">
                  <c:v>1.6223116</c:v>
                </c:pt>
                <c:pt idx="4">
                  <c:v>1.6223116</c:v>
                </c:pt>
                <c:pt idx="5">
                  <c:v>1.6223116</c:v>
                </c:pt>
                <c:pt idx="6">
                  <c:v>1.6223116</c:v>
                </c:pt>
                <c:pt idx="7">
                  <c:v>1.6223116</c:v>
                </c:pt>
                <c:pt idx="8">
                  <c:v>1.6223116</c:v>
                </c:pt>
                <c:pt idx="9">
                  <c:v>1.6223116</c:v>
                </c:pt>
                <c:pt idx="10">
                  <c:v>1.6223116</c:v>
                </c:pt>
                <c:pt idx="11">
                  <c:v>1.6223116</c:v>
                </c:pt>
                <c:pt idx="12">
                  <c:v>1.6195412</c:v>
                </c:pt>
                <c:pt idx="13">
                  <c:v>1.6195412</c:v>
                </c:pt>
                <c:pt idx="14">
                  <c:v>1.6195412</c:v>
                </c:pt>
                <c:pt idx="15">
                  <c:v>1.6195412</c:v>
                </c:pt>
                <c:pt idx="16">
                  <c:v>1.8390358</c:v>
                </c:pt>
                <c:pt idx="17">
                  <c:v>1.8390172999999999</c:v>
                </c:pt>
                <c:pt idx="18">
                  <c:v>1.8390172999999999</c:v>
                </c:pt>
                <c:pt idx="19">
                  <c:v>0.36187279999999999</c:v>
                </c:pt>
                <c:pt idx="20">
                  <c:v>0.23692750000000001</c:v>
                </c:pt>
                <c:pt idx="21">
                  <c:v>0.47566329999999996</c:v>
                </c:pt>
                <c:pt idx="22">
                  <c:v>1.8472302</c:v>
                </c:pt>
                <c:pt idx="23">
                  <c:v>0.2093901</c:v>
                </c:pt>
                <c:pt idx="24">
                  <c:v>0.2093901</c:v>
                </c:pt>
                <c:pt idx="25">
                  <c:v>0.2093901</c:v>
                </c:pt>
                <c:pt idx="26">
                  <c:v>0.2093901</c:v>
                </c:pt>
                <c:pt idx="27">
                  <c:v>0.2093901</c:v>
                </c:pt>
                <c:pt idx="28">
                  <c:v>0.2093901</c:v>
                </c:pt>
                <c:pt idx="29">
                  <c:v>0.2093901</c:v>
                </c:pt>
                <c:pt idx="30">
                  <c:v>0.2093901</c:v>
                </c:pt>
                <c:pt idx="31">
                  <c:v>0.2093901</c:v>
                </c:pt>
                <c:pt idx="32">
                  <c:v>0.2093901</c:v>
                </c:pt>
                <c:pt idx="33">
                  <c:v>0.39321119999999998</c:v>
                </c:pt>
                <c:pt idx="34">
                  <c:v>0.1979745</c:v>
                </c:pt>
                <c:pt idx="35">
                  <c:v>0.39321119999999998</c:v>
                </c:pt>
                <c:pt idx="36">
                  <c:v>2.0083465999999999</c:v>
                </c:pt>
                <c:pt idx="37">
                  <c:v>0.39298139999999998</c:v>
                </c:pt>
                <c:pt idx="38">
                  <c:v>0.39296989999999998</c:v>
                </c:pt>
                <c:pt idx="39">
                  <c:v>0.37715290000000001</c:v>
                </c:pt>
                <c:pt idx="40">
                  <c:v>2.9259188999999997</c:v>
                </c:pt>
                <c:pt idx="41">
                  <c:v>0.3928816</c:v>
                </c:pt>
                <c:pt idx="42">
                  <c:v>0.2093901</c:v>
                </c:pt>
                <c:pt idx="43">
                  <c:v>0.22276390000000001</c:v>
                </c:pt>
                <c:pt idx="44">
                  <c:v>0.1665084</c:v>
                </c:pt>
                <c:pt idx="45">
                  <c:v>0.16714860000000001</c:v>
                </c:pt>
                <c:pt idx="46">
                  <c:v>0.22276390000000001</c:v>
                </c:pt>
                <c:pt idx="47">
                  <c:v>0.1670344</c:v>
                </c:pt>
                <c:pt idx="48">
                  <c:v>0.47533130000000001</c:v>
                </c:pt>
                <c:pt idx="49">
                  <c:v>3.0248523</c:v>
                </c:pt>
                <c:pt idx="50">
                  <c:v>0.64161760000000001</c:v>
                </c:pt>
                <c:pt idx="51">
                  <c:v>0.71175820000000001</c:v>
                </c:pt>
                <c:pt idx="52">
                  <c:v>0.16376250000000001</c:v>
                </c:pt>
                <c:pt idx="53">
                  <c:v>0.33756930000000002</c:v>
                </c:pt>
                <c:pt idx="54">
                  <c:v>0.37318649999999998</c:v>
                </c:pt>
                <c:pt idx="55">
                  <c:v>0.18233389999999999</c:v>
                </c:pt>
                <c:pt idx="56">
                  <c:v>0.3784459</c:v>
                </c:pt>
                <c:pt idx="57">
                  <c:v>0.37192789999999998</c:v>
                </c:pt>
                <c:pt idx="58">
                  <c:v>0.37153330000000001</c:v>
                </c:pt>
                <c:pt idx="59">
                  <c:v>2.0083465999999999</c:v>
                </c:pt>
                <c:pt idx="60">
                  <c:v>0.38980920000000002</c:v>
                </c:pt>
                <c:pt idx="61">
                  <c:v>0.38952950000000003</c:v>
                </c:pt>
                <c:pt idx="62">
                  <c:v>0.38298840000000001</c:v>
                </c:pt>
                <c:pt idx="63">
                  <c:v>0.37980900000000001</c:v>
                </c:pt>
                <c:pt idx="64">
                  <c:v>2.0083465999999999</c:v>
                </c:pt>
                <c:pt idx="65">
                  <c:v>0.34388079999999999</c:v>
                </c:pt>
                <c:pt idx="66">
                  <c:v>2.0083465999999999</c:v>
                </c:pt>
                <c:pt idx="67">
                  <c:v>0.34711959999999997</c:v>
                </c:pt>
                <c:pt idx="68">
                  <c:v>0.37324740000000001</c:v>
                </c:pt>
                <c:pt idx="69">
                  <c:v>0.21558249999999998</c:v>
                </c:pt>
                <c:pt idx="70">
                  <c:v>0.37405830000000001</c:v>
                </c:pt>
                <c:pt idx="71">
                  <c:v>1.4696222999999999</c:v>
                </c:pt>
                <c:pt idx="72">
                  <c:v>0.38411119999999999</c:v>
                </c:pt>
                <c:pt idx="73">
                  <c:v>0.38114369999999997</c:v>
                </c:pt>
                <c:pt idx="74">
                  <c:v>0.38259710000000002</c:v>
                </c:pt>
                <c:pt idx="75">
                  <c:v>0.38078060000000002</c:v>
                </c:pt>
                <c:pt idx="76">
                  <c:v>0.35822489999999996</c:v>
                </c:pt>
                <c:pt idx="77">
                  <c:v>0.35822489999999996</c:v>
                </c:pt>
                <c:pt idx="78">
                  <c:v>0.3787373</c:v>
                </c:pt>
                <c:pt idx="79">
                  <c:v>0.37213290000000004</c:v>
                </c:pt>
                <c:pt idx="80">
                  <c:v>0.37872349999999999</c:v>
                </c:pt>
                <c:pt idx="81">
                  <c:v>0.37858980000000003</c:v>
                </c:pt>
                <c:pt idx="82">
                  <c:v>0.37815540000000003</c:v>
                </c:pt>
                <c:pt idx="83">
                  <c:v>8.3095202999999991</c:v>
                </c:pt>
                <c:pt idx="84">
                  <c:v>0.3827699</c:v>
                </c:pt>
                <c:pt idx="85">
                  <c:v>0.35822489999999996</c:v>
                </c:pt>
                <c:pt idx="86">
                  <c:v>0.37417499999999998</c:v>
                </c:pt>
                <c:pt idx="87">
                  <c:v>0.37858649999999999</c:v>
                </c:pt>
                <c:pt idx="88">
                  <c:v>0.37858649999999999</c:v>
                </c:pt>
                <c:pt idx="89">
                  <c:v>0.37778249999999997</c:v>
                </c:pt>
                <c:pt idx="90">
                  <c:v>6.3628469000000001</c:v>
                </c:pt>
                <c:pt idx="91">
                  <c:v>0.3775329</c:v>
                </c:pt>
                <c:pt idx="92">
                  <c:v>0.35822489999999996</c:v>
                </c:pt>
                <c:pt idx="93">
                  <c:v>0.3775329</c:v>
                </c:pt>
                <c:pt idx="94">
                  <c:v>0.35822489999999996</c:v>
                </c:pt>
                <c:pt idx="95">
                  <c:v>0.35822489999999996</c:v>
                </c:pt>
                <c:pt idx="96">
                  <c:v>0.35822489999999996</c:v>
                </c:pt>
                <c:pt idx="97">
                  <c:v>0.35822489999999996</c:v>
                </c:pt>
                <c:pt idx="98">
                  <c:v>0.35822489999999996</c:v>
                </c:pt>
                <c:pt idx="99">
                  <c:v>0.35822489999999996</c:v>
                </c:pt>
                <c:pt idx="100">
                  <c:v>0.35822489999999996</c:v>
                </c:pt>
                <c:pt idx="101">
                  <c:v>0.37381920000000002</c:v>
                </c:pt>
                <c:pt idx="102">
                  <c:v>0.374668</c:v>
                </c:pt>
                <c:pt idx="103">
                  <c:v>0.37863059999999998</c:v>
                </c:pt>
                <c:pt idx="104">
                  <c:v>0.37733539999999999</c:v>
                </c:pt>
                <c:pt idx="105">
                  <c:v>0.37863059999999998</c:v>
                </c:pt>
                <c:pt idx="106">
                  <c:v>0.37863059999999998</c:v>
                </c:pt>
                <c:pt idx="107">
                  <c:v>0.37863059999999998</c:v>
                </c:pt>
                <c:pt idx="108">
                  <c:v>0.37863059999999998</c:v>
                </c:pt>
                <c:pt idx="109">
                  <c:v>0.37833560000000005</c:v>
                </c:pt>
                <c:pt idx="110">
                  <c:v>0.37868930000000001</c:v>
                </c:pt>
                <c:pt idx="111">
                  <c:v>0.37068870000000004</c:v>
                </c:pt>
                <c:pt idx="112">
                  <c:v>0.37169600000000003</c:v>
                </c:pt>
                <c:pt idx="113">
                  <c:v>0.37724409999999997</c:v>
                </c:pt>
                <c:pt idx="114">
                  <c:v>0.37872669999999997</c:v>
                </c:pt>
                <c:pt idx="115">
                  <c:v>0.37851010000000002</c:v>
                </c:pt>
                <c:pt idx="116">
                  <c:v>0.37820500000000001</c:v>
                </c:pt>
                <c:pt idx="117">
                  <c:v>0.37320500000000001</c:v>
                </c:pt>
                <c:pt idx="118">
                  <c:v>1.8248599999999999</c:v>
                </c:pt>
                <c:pt idx="119">
                  <c:v>0.17956520000000001</c:v>
                </c:pt>
                <c:pt idx="120">
                  <c:v>0.37980169999999996</c:v>
                </c:pt>
                <c:pt idx="121">
                  <c:v>5.0093699000000003</c:v>
                </c:pt>
                <c:pt idx="122">
                  <c:v>5.1257602000000002</c:v>
                </c:pt>
                <c:pt idx="123">
                  <c:v>1.8234139</c:v>
                </c:pt>
                <c:pt idx="124">
                  <c:v>1.8234139</c:v>
                </c:pt>
                <c:pt idx="125">
                  <c:v>1.8234139</c:v>
                </c:pt>
                <c:pt idx="126">
                  <c:v>0.24839070000000002</c:v>
                </c:pt>
                <c:pt idx="127">
                  <c:v>0.13105269999999999</c:v>
                </c:pt>
                <c:pt idx="128">
                  <c:v>1.6194256</c:v>
                </c:pt>
                <c:pt idx="129">
                  <c:v>1.8075511999999998</c:v>
                </c:pt>
                <c:pt idx="130">
                  <c:v>1.7430599999999998</c:v>
                </c:pt>
                <c:pt idx="131">
                  <c:v>1.7843420999999999</c:v>
                </c:pt>
                <c:pt idx="132">
                  <c:v>0.37572410000000001</c:v>
                </c:pt>
                <c:pt idx="133">
                  <c:v>0.30602640000000003</c:v>
                </c:pt>
                <c:pt idx="134">
                  <c:v>0.24833200000000002</c:v>
                </c:pt>
                <c:pt idx="135">
                  <c:v>1.1518374</c:v>
                </c:pt>
                <c:pt idx="136">
                  <c:v>1.7843420999999999</c:v>
                </c:pt>
                <c:pt idx="137">
                  <c:v>0.29264760000000001</c:v>
                </c:pt>
                <c:pt idx="138">
                  <c:v>1.8248599999999999</c:v>
                </c:pt>
                <c:pt idx="139">
                  <c:v>0.29264760000000001</c:v>
                </c:pt>
                <c:pt idx="140">
                  <c:v>2.2223842</c:v>
                </c:pt>
                <c:pt idx="141">
                  <c:v>1.8075511999999998</c:v>
                </c:pt>
                <c:pt idx="142">
                  <c:v>0.55976550000000003</c:v>
                </c:pt>
                <c:pt idx="143">
                  <c:v>1.570668</c:v>
                </c:pt>
                <c:pt idx="144">
                  <c:v>1.5797493</c:v>
                </c:pt>
                <c:pt idx="145">
                  <c:v>0.43118689999999998</c:v>
                </c:pt>
                <c:pt idx="146">
                  <c:v>0.38040300000000005</c:v>
                </c:pt>
                <c:pt idx="147">
                  <c:v>0.38102770000000002</c:v>
                </c:pt>
                <c:pt idx="148">
                  <c:v>0.38101230000000003</c:v>
                </c:pt>
                <c:pt idx="149">
                  <c:v>0.38005489999999997</c:v>
                </c:pt>
                <c:pt idx="150">
                  <c:v>1.8286274000000002</c:v>
                </c:pt>
                <c:pt idx="151">
                  <c:v>1.8286274000000002</c:v>
                </c:pt>
                <c:pt idx="152">
                  <c:v>1.8286274000000002</c:v>
                </c:pt>
                <c:pt idx="153">
                  <c:v>1.8286274000000002</c:v>
                </c:pt>
                <c:pt idx="154">
                  <c:v>1.7843420999999999</c:v>
                </c:pt>
                <c:pt idx="155">
                  <c:v>1.7843420999999999</c:v>
                </c:pt>
                <c:pt idx="156">
                  <c:v>1.7843420999999999</c:v>
                </c:pt>
                <c:pt idx="157">
                  <c:v>1.7843420999999999</c:v>
                </c:pt>
                <c:pt idx="158">
                  <c:v>1.7843420999999999</c:v>
                </c:pt>
                <c:pt idx="159">
                  <c:v>1.8047305</c:v>
                </c:pt>
                <c:pt idx="160">
                  <c:v>1.8047305</c:v>
                </c:pt>
                <c:pt idx="161">
                  <c:v>1.8059759999999998</c:v>
                </c:pt>
                <c:pt idx="162">
                  <c:v>0.37485810000000003</c:v>
                </c:pt>
                <c:pt idx="163">
                  <c:v>1.8068571</c:v>
                </c:pt>
                <c:pt idx="164">
                  <c:v>0.25061899999999998</c:v>
                </c:pt>
                <c:pt idx="165">
                  <c:v>0.38923800000000003</c:v>
                </c:pt>
                <c:pt idx="166">
                  <c:v>1.5924955000000001</c:v>
                </c:pt>
                <c:pt idx="167">
                  <c:v>1.7852840000000001</c:v>
                </c:pt>
                <c:pt idx="168">
                  <c:v>0.37726900000000002</c:v>
                </c:pt>
                <c:pt idx="169">
                  <c:v>0.37729960000000001</c:v>
                </c:pt>
                <c:pt idx="170">
                  <c:v>0.3728301</c:v>
                </c:pt>
                <c:pt idx="171">
                  <c:v>0.197986</c:v>
                </c:pt>
                <c:pt idx="172">
                  <c:v>2.0010072000000001</c:v>
                </c:pt>
                <c:pt idx="173">
                  <c:v>2.0009895000000002</c:v>
                </c:pt>
                <c:pt idx="174">
                  <c:v>2.0011095999999999</c:v>
                </c:pt>
                <c:pt idx="175">
                  <c:v>2.0011095999999999</c:v>
                </c:pt>
                <c:pt idx="176">
                  <c:v>2.0011095999999999</c:v>
                </c:pt>
                <c:pt idx="177">
                  <c:v>0.38150610000000001</c:v>
                </c:pt>
                <c:pt idx="178">
                  <c:v>0.38151810000000003</c:v>
                </c:pt>
                <c:pt idx="179">
                  <c:v>0.38152710000000001</c:v>
                </c:pt>
                <c:pt idx="180">
                  <c:v>0.41576350000000001</c:v>
                </c:pt>
                <c:pt idx="181">
                  <c:v>0.59701369999999998</c:v>
                </c:pt>
                <c:pt idx="182">
                  <c:v>2.7193432</c:v>
                </c:pt>
                <c:pt idx="183">
                  <c:v>2.7193432</c:v>
                </c:pt>
                <c:pt idx="184">
                  <c:v>1.9968513999999999</c:v>
                </c:pt>
                <c:pt idx="185">
                  <c:v>1.9968513999999999</c:v>
                </c:pt>
                <c:pt idx="186">
                  <c:v>1.9968513999999999</c:v>
                </c:pt>
                <c:pt idx="187">
                  <c:v>1.9968513999999999</c:v>
                </c:pt>
                <c:pt idx="188">
                  <c:v>1.9954927</c:v>
                </c:pt>
                <c:pt idx="189">
                  <c:v>0.87314619999999998</c:v>
                </c:pt>
                <c:pt idx="190">
                  <c:v>2.2246417000000003</c:v>
                </c:pt>
                <c:pt idx="191">
                  <c:v>2.2230083</c:v>
                </c:pt>
                <c:pt idx="192">
                  <c:v>1.8183393000000001</c:v>
                </c:pt>
                <c:pt idx="193">
                  <c:v>1.5529875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xVal>
          <c:yVal>
            <c:numRef>
              <c:f>'Time Plot'!$I$3:$I$199</c:f>
              <c:numCache>
                <c:formatCode>General</c:formatCode>
                <c:ptCount val="197"/>
                <c:pt idx="39">
                  <c:v>2.6591080999999996</c:v>
                </c:pt>
                <c:pt idx="54">
                  <c:v>2.6501899</c:v>
                </c:pt>
                <c:pt idx="56">
                  <c:v>2.6494285</c:v>
                </c:pt>
                <c:pt idx="57">
                  <c:v>2.6577987000000003</c:v>
                </c:pt>
                <c:pt idx="58">
                  <c:v>2.6583125000000001</c:v>
                </c:pt>
                <c:pt idx="60">
                  <c:v>2.6522017999999998</c:v>
                </c:pt>
                <c:pt idx="61">
                  <c:v>2.6524806999999999</c:v>
                </c:pt>
                <c:pt idx="62">
                  <c:v>2.6586894000000001</c:v>
                </c:pt>
                <c:pt idx="63">
                  <c:v>2.6616868</c:v>
                </c:pt>
                <c:pt idx="68">
                  <c:v>2.6683108999999998</c:v>
                </c:pt>
                <c:pt idx="70">
                  <c:v>2.6563362000000001</c:v>
                </c:pt>
                <c:pt idx="72">
                  <c:v>2.6572350999999998</c:v>
                </c:pt>
                <c:pt idx="73">
                  <c:v>2.6595595000000003</c:v>
                </c:pt>
                <c:pt idx="74">
                  <c:v>2.6584229000000001</c:v>
                </c:pt>
                <c:pt idx="75">
                  <c:v>2.6598424999999999</c:v>
                </c:pt>
                <c:pt idx="79">
                  <c:v>2.6636799999999998</c:v>
                </c:pt>
                <c:pt idx="80">
                  <c:v>2.6614841999999999</c:v>
                </c:pt>
                <c:pt idx="81">
                  <c:v>2.6615310000000001</c:v>
                </c:pt>
                <c:pt idx="82">
                  <c:v>2.660752</c:v>
                </c:pt>
                <c:pt idx="84">
                  <c:v>2.6557051</c:v>
                </c:pt>
                <c:pt idx="86">
                  <c:v>2.6671309000000001</c:v>
                </c:pt>
                <c:pt idx="87">
                  <c:v>2.6615540000000002</c:v>
                </c:pt>
                <c:pt idx="89">
                  <c:v>2.6573259999999999</c:v>
                </c:pt>
                <c:pt idx="91">
                  <c:v>2.6588712999999999</c:v>
                </c:pt>
                <c:pt idx="92">
                  <c:v>2.6869455000000002</c:v>
                </c:pt>
                <c:pt idx="93">
                  <c:v>2.6588712999999999</c:v>
                </c:pt>
                <c:pt idx="95">
                  <c:v>2.6869455000000002</c:v>
                </c:pt>
                <c:pt idx="101">
                  <c:v>2.6674690000000001</c:v>
                </c:pt>
                <c:pt idx="102">
                  <c:v>2.6664156000000001</c:v>
                </c:pt>
                <c:pt idx="103">
                  <c:v>2.6614993</c:v>
                </c:pt>
                <c:pt idx="104">
                  <c:v>2.6631054999999999</c:v>
                </c:pt>
                <c:pt idx="105">
                  <c:v>2.6614993</c:v>
                </c:pt>
                <c:pt idx="106">
                  <c:v>2.6614993</c:v>
                </c:pt>
                <c:pt idx="107">
                  <c:v>2.6614993</c:v>
                </c:pt>
                <c:pt idx="108">
                  <c:v>2.6614993</c:v>
                </c:pt>
                <c:pt idx="109">
                  <c:v>2.6618637999999999</c:v>
                </c:pt>
                <c:pt idx="110">
                  <c:v>2.6614260999999999</c:v>
                </c:pt>
                <c:pt idx="111">
                  <c:v>2.6634985000000002</c:v>
                </c:pt>
                <c:pt idx="112">
                  <c:v>2.6522184000000002</c:v>
                </c:pt>
                <c:pt idx="113">
                  <c:v>2.6596860000000002</c:v>
                </c:pt>
                <c:pt idx="114">
                  <c:v>2.6616814999999998</c:v>
                </c:pt>
                <c:pt idx="115">
                  <c:v>2.6613900000000004</c:v>
                </c:pt>
                <c:pt idx="116">
                  <c:v>2.6605800999999998</c:v>
                </c:pt>
                <c:pt idx="117">
                  <c:v>2.6566699000000003</c:v>
                </c:pt>
                <c:pt idx="120">
                  <c:v>2.6588594000000003</c:v>
                </c:pt>
                <c:pt idx="132">
                  <c:v>2.6609574</c:v>
                </c:pt>
                <c:pt idx="146">
                  <c:v>2.6624501999999999</c:v>
                </c:pt>
                <c:pt idx="147">
                  <c:v>2.6620195</c:v>
                </c:pt>
                <c:pt idx="148">
                  <c:v>2.6620301999999998</c:v>
                </c:pt>
                <c:pt idx="149">
                  <c:v>2.6626901999999997</c:v>
                </c:pt>
                <c:pt idx="162">
                  <c:v>2.6514354999999998</c:v>
                </c:pt>
                <c:pt idx="165">
                  <c:v>2.6474599999999997</c:v>
                </c:pt>
                <c:pt idx="168">
                  <c:v>2.6591925999999999</c:v>
                </c:pt>
                <c:pt idx="169">
                  <c:v>2.6592583999999997</c:v>
                </c:pt>
                <c:pt idx="170">
                  <c:v>2.6618841</c:v>
                </c:pt>
                <c:pt idx="177">
                  <c:v>2.6611997000000001</c:v>
                </c:pt>
                <c:pt idx="178">
                  <c:v>2.6611724999999997</c:v>
                </c:pt>
                <c:pt idx="179">
                  <c:v>2.6611848</c:v>
                </c:pt>
                <c:pt idx="180">
                  <c:v>2.5855796999999998</c:v>
                </c:pt>
                <c:pt idx="181">
                  <c:v>2.5270633999999998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07-4B6F-92E8-7453822E9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95320"/>
        <c:axId val="1"/>
      </c:scatterChart>
      <c:valAx>
        <c:axId val="367595320"/>
        <c:scaling>
          <c:orientation val="minMax"/>
          <c:max val="2.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3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7595320"/>
        <c:crosses val="autoZero"/>
        <c:crossBetween val="midCat"/>
        <c:majorUnit val="1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DDDDDD" mc:Ignorable="a14" a14:legacySpreadsheetColorIndex="22">
                <a:gamma/>
                <a:tint val="53725"/>
                <a:invGamma/>
              </a:srgbClr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80983692989767964"/>
          <c:y val="0.12478031634446397"/>
          <c:w val="0.14098375702672156"/>
          <c:h val="0.161687170474516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415330873602793E-2"/>
          <c:y val="0.20548082647170959"/>
          <c:w val="0.94426330287664673"/>
          <c:h val="0.2191795482364902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'Time Plot'!$L$3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A-42F0-8C0B-6A0BC6569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029384"/>
        <c:axId val="1"/>
      </c:barChart>
      <c:catAx>
        <c:axId val="455029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029384"/>
        <c:crosses val="autoZero"/>
        <c:crossBetween val="between"/>
        <c:majorUnit val="0.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</xdr:row>
      <xdr:rowOff>84364</xdr:rowOff>
    </xdr:from>
    <xdr:to>
      <xdr:col>48</xdr:col>
      <xdr:colOff>258537</xdr:colOff>
      <xdr:row>32</xdr:row>
      <xdr:rowOff>54428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49530</xdr:colOff>
          <xdr:row>3</xdr:row>
          <xdr:rowOff>68580</xdr:rowOff>
        </xdr:from>
        <xdr:to>
          <xdr:col>41</xdr:col>
          <xdr:colOff>57150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12</xdr:col>
      <xdr:colOff>552450</xdr:colOff>
      <xdr:row>33</xdr:row>
      <xdr:rowOff>85725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1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3</xdr:row>
          <xdr:rowOff>49530</xdr:rowOff>
        </xdr:from>
        <xdr:to>
          <xdr:col>15</xdr:col>
          <xdr:colOff>19050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Animation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0</xdr:rowOff>
        </xdr:from>
        <xdr:to>
          <xdr:col>15</xdr:col>
          <xdr:colOff>49530</xdr:colOff>
          <xdr:row>2</xdr:row>
          <xdr:rowOff>125730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33</xdr:row>
      <xdr:rowOff>152400</xdr:rowOff>
    </xdr:from>
    <xdr:to>
      <xdr:col>12</xdr:col>
      <xdr:colOff>571500</xdr:colOff>
      <xdr:row>38</xdr:row>
      <xdr:rowOff>38100</xdr:rowOff>
    </xdr:to>
    <xdr:graphicFrame macro="">
      <xdr:nvGraphicFramePr>
        <xdr:cNvPr id="4101" name="Chart 5">
          <a:extLst>
            <a:ext uri="{FF2B5EF4-FFF2-40B4-BE49-F238E27FC236}">
              <a16:creationId xmlns:a16="http://schemas.microsoft.com/office/drawing/2014/main" id="{00000000-0008-0000-0100-000005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Y9"/>
  <sheetViews>
    <sheetView tabSelected="1" zoomScale="70" zoomScaleNormal="70" workbookViewId="0">
      <selection activeCell="C5" sqref="C5"/>
    </sheetView>
  </sheetViews>
  <sheetFormatPr defaultColWidth="8.71875" defaultRowHeight="12.3" x14ac:dyDescent="0.4"/>
  <cols>
    <col min="1" max="1" width="6" style="3" customWidth="1"/>
    <col min="2" max="2" width="5.5546875" style="3" customWidth="1"/>
    <col min="3" max="3" width="5.1640625" style="3" customWidth="1"/>
    <col min="4" max="5" width="2" style="3" bestFit="1" customWidth="1"/>
    <col min="6" max="6" width="2" style="3" customWidth="1"/>
    <col min="7" max="7" width="3.27734375" style="3" customWidth="1"/>
    <col min="8" max="8" width="3.44140625" style="3" customWidth="1"/>
    <col min="9" max="10" width="2" style="3" bestFit="1" customWidth="1"/>
    <col min="11" max="11" width="4.44140625" style="3" customWidth="1"/>
    <col min="12" max="13" width="3.5546875" style="3" bestFit="1" customWidth="1"/>
    <col min="14" max="23" width="2" style="3" bestFit="1" customWidth="1"/>
    <col min="24" max="24" width="3" style="3" bestFit="1" customWidth="1"/>
    <col min="25" max="36" width="2" style="3" bestFit="1" customWidth="1"/>
    <col min="37" max="39" width="3" style="3" bestFit="1" customWidth="1"/>
    <col min="40" max="40" width="2" style="3" bestFit="1" customWidth="1"/>
    <col min="41" max="77" width="4" style="3" bestFit="1" customWidth="1"/>
    <col min="78" max="16384" width="8.71875" style="3"/>
  </cols>
  <sheetData>
    <row r="1" spans="1:77" x14ac:dyDescent="0.4">
      <c r="A1" s="1" t="s">
        <v>0</v>
      </c>
      <c r="B1" s="2">
        <v>1</v>
      </c>
      <c r="C1" s="2">
        <v>1</v>
      </c>
      <c r="D1" s="3">
        <v>1</v>
      </c>
      <c r="E1" s="3">
        <v>1</v>
      </c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2</v>
      </c>
      <c r="N1" s="3">
        <v>3</v>
      </c>
      <c r="O1" s="3">
        <v>4</v>
      </c>
      <c r="P1" s="3">
        <v>4</v>
      </c>
      <c r="Q1" s="3">
        <v>4</v>
      </c>
      <c r="R1" s="3">
        <v>4</v>
      </c>
      <c r="S1" s="3">
        <v>4</v>
      </c>
      <c r="T1" s="3">
        <v>4</v>
      </c>
      <c r="U1" s="3">
        <v>4</v>
      </c>
      <c r="V1" s="3">
        <v>4</v>
      </c>
      <c r="W1" s="3">
        <v>4</v>
      </c>
      <c r="X1" s="3">
        <v>4</v>
      </c>
      <c r="Y1" s="3">
        <v>5</v>
      </c>
      <c r="Z1" s="3">
        <v>6</v>
      </c>
      <c r="AA1" s="3">
        <v>7</v>
      </c>
      <c r="AB1" s="3">
        <v>6</v>
      </c>
      <c r="AC1" s="3">
        <v>6</v>
      </c>
      <c r="AD1" s="3">
        <v>6</v>
      </c>
      <c r="AE1" s="3">
        <v>6</v>
      </c>
      <c r="AF1" s="3">
        <v>6</v>
      </c>
      <c r="AG1" s="3">
        <v>6</v>
      </c>
      <c r="AH1" s="3">
        <v>6</v>
      </c>
      <c r="AI1" s="3">
        <v>6</v>
      </c>
      <c r="AJ1" s="3">
        <v>6</v>
      </c>
      <c r="AK1" s="3">
        <v>6</v>
      </c>
      <c r="AL1" s="3">
        <v>5</v>
      </c>
      <c r="AM1" s="3">
        <v>7</v>
      </c>
      <c r="AN1" s="3">
        <v>4</v>
      </c>
      <c r="AO1" s="2">
        <v>1</v>
      </c>
      <c r="AP1" s="2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1.5</v>
      </c>
      <c r="AZ1" s="3">
        <v>2.5</v>
      </c>
      <c r="BA1" s="3">
        <v>3.5</v>
      </c>
      <c r="BB1" s="3">
        <v>4</v>
      </c>
      <c r="BC1" s="3">
        <v>4</v>
      </c>
      <c r="BD1" s="3">
        <v>4</v>
      </c>
      <c r="BE1" s="3">
        <v>4</v>
      </c>
      <c r="BF1" s="3">
        <v>4</v>
      </c>
      <c r="BG1" s="3">
        <v>4</v>
      </c>
      <c r="BH1" s="3">
        <v>4</v>
      </c>
      <c r="BI1" s="3">
        <v>4</v>
      </c>
      <c r="BJ1" s="3">
        <v>4</v>
      </c>
      <c r="BK1" s="3">
        <v>4</v>
      </c>
      <c r="BL1" s="3">
        <v>6</v>
      </c>
      <c r="BM1" s="3">
        <v>6</v>
      </c>
      <c r="BN1" s="3">
        <v>6</v>
      </c>
      <c r="BO1" s="3">
        <v>6</v>
      </c>
      <c r="BP1" s="3">
        <v>6</v>
      </c>
      <c r="BQ1" s="3">
        <v>6</v>
      </c>
      <c r="BR1" s="3">
        <v>6</v>
      </c>
      <c r="BS1" s="3">
        <v>6</v>
      </c>
      <c r="BT1" s="3">
        <v>6</v>
      </c>
      <c r="BU1" s="3">
        <v>6</v>
      </c>
      <c r="BV1" s="3">
        <v>5.5</v>
      </c>
      <c r="BW1" s="3">
        <v>6.5</v>
      </c>
      <c r="BX1" s="3">
        <v>5.5</v>
      </c>
      <c r="BY1" s="3">
        <v>6.5</v>
      </c>
    </row>
    <row r="2" spans="1:77" x14ac:dyDescent="0.4">
      <c r="A2" s="1" t="s">
        <v>1</v>
      </c>
      <c r="B2" s="2">
        <v>0</v>
      </c>
      <c r="C2" s="2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5</v>
      </c>
      <c r="N2" s="3">
        <v>5</v>
      </c>
      <c r="O2" s="3">
        <v>1</v>
      </c>
      <c r="P2" s="3">
        <v>2</v>
      </c>
      <c r="Q2" s="3">
        <v>3</v>
      </c>
      <c r="R2" s="3">
        <v>4</v>
      </c>
      <c r="S2" s="3">
        <v>5</v>
      </c>
      <c r="T2" s="3">
        <v>6</v>
      </c>
      <c r="U2" s="3">
        <v>7</v>
      </c>
      <c r="V2" s="3">
        <v>8</v>
      </c>
      <c r="W2" s="3">
        <v>9</v>
      </c>
      <c r="X2" s="3">
        <v>10</v>
      </c>
      <c r="Y2" s="3">
        <v>0</v>
      </c>
      <c r="Z2" s="3">
        <v>0</v>
      </c>
      <c r="AA2" s="3">
        <v>0</v>
      </c>
      <c r="AB2" s="3">
        <v>1</v>
      </c>
      <c r="AC2" s="3">
        <v>2</v>
      </c>
      <c r="AD2" s="3">
        <v>3</v>
      </c>
      <c r="AE2" s="3">
        <v>4</v>
      </c>
      <c r="AF2" s="3">
        <v>5</v>
      </c>
      <c r="AG2" s="3">
        <v>6</v>
      </c>
      <c r="AH2" s="3">
        <v>7</v>
      </c>
      <c r="AI2" s="3">
        <v>8</v>
      </c>
      <c r="AJ2" s="3">
        <v>9</v>
      </c>
      <c r="AK2" s="3">
        <v>10</v>
      </c>
      <c r="AL2" s="3">
        <v>10</v>
      </c>
      <c r="AM2" s="3">
        <v>10</v>
      </c>
      <c r="AN2" s="3">
        <v>0</v>
      </c>
      <c r="AO2" s="4">
        <f>B2+0.5</f>
        <v>0.5</v>
      </c>
      <c r="AP2" s="4">
        <f t="shared" ref="AP2:AX2" si="0">C2+0.5</f>
        <v>1.5</v>
      </c>
      <c r="AQ2" s="4">
        <f t="shared" si="0"/>
        <v>2.5</v>
      </c>
      <c r="AR2" s="4">
        <f t="shared" si="0"/>
        <v>3.5</v>
      </c>
      <c r="AS2" s="4">
        <f t="shared" si="0"/>
        <v>4.5</v>
      </c>
      <c r="AT2" s="4">
        <f t="shared" si="0"/>
        <v>5.5</v>
      </c>
      <c r="AU2" s="4">
        <f t="shared" si="0"/>
        <v>6.5</v>
      </c>
      <c r="AV2" s="4">
        <f t="shared" si="0"/>
        <v>7.5</v>
      </c>
      <c r="AW2" s="4">
        <f t="shared" si="0"/>
        <v>8.5</v>
      </c>
      <c r="AX2" s="4">
        <f t="shared" si="0"/>
        <v>9.5</v>
      </c>
      <c r="AY2" s="4">
        <v>5</v>
      </c>
      <c r="AZ2" s="3">
        <v>5</v>
      </c>
      <c r="BA2" s="3">
        <v>5</v>
      </c>
      <c r="BB2" s="4">
        <v>0.5</v>
      </c>
      <c r="BC2" s="4">
        <f>O2+0.5</f>
        <v>1.5</v>
      </c>
      <c r="BD2" s="4">
        <f t="shared" ref="BD2:BK2" si="1">P2+0.5</f>
        <v>2.5</v>
      </c>
      <c r="BE2" s="4">
        <f t="shared" si="1"/>
        <v>3.5</v>
      </c>
      <c r="BF2" s="4">
        <f t="shared" si="1"/>
        <v>4.5</v>
      </c>
      <c r="BG2" s="4">
        <f t="shared" si="1"/>
        <v>5.5</v>
      </c>
      <c r="BH2" s="4">
        <f t="shared" si="1"/>
        <v>6.5</v>
      </c>
      <c r="BI2" s="4">
        <f t="shared" si="1"/>
        <v>7.5</v>
      </c>
      <c r="BJ2" s="4">
        <f t="shared" si="1"/>
        <v>8.5</v>
      </c>
      <c r="BK2" s="4">
        <f t="shared" si="1"/>
        <v>9.5</v>
      </c>
      <c r="BL2" s="4">
        <f>AB2-0.5</f>
        <v>0.5</v>
      </c>
      <c r="BM2" s="4">
        <f>BL2+1</f>
        <v>1.5</v>
      </c>
      <c r="BN2" s="4">
        <f t="shared" ref="BN2:BU2" si="2">BM2+1</f>
        <v>2.5</v>
      </c>
      <c r="BO2" s="4">
        <f t="shared" si="2"/>
        <v>3.5</v>
      </c>
      <c r="BP2" s="4">
        <f t="shared" si="2"/>
        <v>4.5</v>
      </c>
      <c r="BQ2" s="4">
        <f t="shared" si="2"/>
        <v>5.5</v>
      </c>
      <c r="BR2" s="4">
        <f t="shared" si="2"/>
        <v>6.5</v>
      </c>
      <c r="BS2" s="4">
        <f t="shared" si="2"/>
        <v>7.5</v>
      </c>
      <c r="BT2" s="4">
        <f t="shared" si="2"/>
        <v>8.5</v>
      </c>
      <c r="BU2" s="4">
        <f t="shared" si="2"/>
        <v>9.5</v>
      </c>
      <c r="BV2" s="3">
        <v>0</v>
      </c>
      <c r="BW2" s="3">
        <v>0</v>
      </c>
      <c r="BX2" s="3">
        <v>10</v>
      </c>
      <c r="BY2" s="3">
        <v>10</v>
      </c>
    </row>
    <row r="3" spans="1:77" x14ac:dyDescent="0.4">
      <c r="A3" s="1"/>
    </row>
    <row r="4" spans="1:77" x14ac:dyDescent="0.4">
      <c r="A4" s="1" t="s">
        <v>4</v>
      </c>
      <c r="B4" s="5">
        <v>1</v>
      </c>
      <c r="C4" s="5">
        <v>0</v>
      </c>
      <c r="F4" s="1" t="s">
        <v>5</v>
      </c>
      <c r="G4" s="4"/>
      <c r="H4" s="4"/>
      <c r="L4" s="4">
        <f>COS($F$5)*Q4*R4</f>
        <v>2.9900000000000011</v>
      </c>
      <c r="M4" s="4">
        <f>-SIN($F$5)</f>
        <v>0</v>
      </c>
      <c r="Q4" s="3">
        <v>2.9900000000000011</v>
      </c>
      <c r="R4" s="3">
        <v>1</v>
      </c>
    </row>
    <row r="5" spans="1:77" x14ac:dyDescent="0.4">
      <c r="A5" s="1"/>
      <c r="B5" s="5">
        <v>0</v>
      </c>
      <c r="C5" s="5">
        <v>1</v>
      </c>
      <c r="F5" s="3">
        <v>0</v>
      </c>
      <c r="G5" s="4"/>
      <c r="H5" s="4"/>
      <c r="L5" s="4">
        <f>SIN($F$5)*Q5</f>
        <v>0</v>
      </c>
      <c r="M5" s="4">
        <f>COS($F$5)*R5</f>
        <v>1</v>
      </c>
      <c r="Q5" s="3">
        <v>1</v>
      </c>
      <c r="R5" s="3">
        <v>1</v>
      </c>
    </row>
    <row r="6" spans="1:77" x14ac:dyDescent="0.4">
      <c r="A6" s="1"/>
    </row>
    <row r="7" spans="1:77" x14ac:dyDescent="0.4">
      <c r="A7" s="1"/>
    </row>
    <row r="8" spans="1:77" x14ac:dyDescent="0.4">
      <c r="A8" s="1" t="s">
        <v>2</v>
      </c>
      <c r="B8" s="3">
        <f t="array" ref="B8:B9">MMULT(B4:C5,B1:B2)</f>
        <v>1</v>
      </c>
      <c r="C8" s="3">
        <f t="array" ref="C8:C9">MMULT(B4:C5,C1:C2)</f>
        <v>1</v>
      </c>
      <c r="D8" s="3">
        <f t="array" ref="D8:D9">MMULT($B$4:$C$5,D1:D2)</f>
        <v>1</v>
      </c>
      <c r="E8" s="3">
        <f t="array" ref="E8:E9">MMULT($B$4:$C$5,E1:E2)</f>
        <v>1</v>
      </c>
      <c r="F8" s="3">
        <f t="array" ref="F8:F9">MMULT($B$4:$C$5,F1:F2)</f>
        <v>1</v>
      </c>
      <c r="G8" s="3">
        <f t="array" ref="G8:G9">MMULT($B$4:$C$5,G1:G2)</f>
        <v>1</v>
      </c>
      <c r="H8" s="3">
        <f t="array" ref="H8:H9">MMULT($B$4:$C$5,H1:H2)</f>
        <v>1</v>
      </c>
      <c r="I8" s="3">
        <f t="array" ref="I8:I9">MMULT($B$4:$C$5,I1:I2)</f>
        <v>1</v>
      </c>
      <c r="J8" s="3">
        <f t="array" ref="J8:J9">MMULT($B$4:$C$5,J1:J2)</f>
        <v>1</v>
      </c>
      <c r="K8" s="3">
        <f t="array" ref="K8:K9">MMULT($B$4:$C$5,K1:K2)</f>
        <v>1</v>
      </c>
      <c r="L8" s="3">
        <f t="array" ref="L8:L9">MMULT($B$4:$C$5,L1:L2)</f>
        <v>1</v>
      </c>
      <c r="M8" s="3">
        <f t="array" ref="M8:M9">MMULT($B$4:$C$5,M1:M2)</f>
        <v>2</v>
      </c>
      <c r="N8" s="3">
        <f t="array" ref="N8:N9">MMULT($B$4:$C$5,N1:N2)</f>
        <v>3</v>
      </c>
      <c r="O8" s="3">
        <f t="array" ref="O8:O9">MMULT($B$4:$C$5,O1:O2)</f>
        <v>4</v>
      </c>
      <c r="P8" s="3">
        <f t="array" ref="P8:P9">MMULT($B$4:$C$5,P1:P2)</f>
        <v>4</v>
      </c>
      <c r="Q8" s="3">
        <f t="array" ref="Q8:Q9">MMULT($B$4:$C$5,Q1:Q2)</f>
        <v>4</v>
      </c>
      <c r="R8" s="3">
        <f t="array" ref="R8:R9">MMULT($B$4:$C$5,R1:R2)</f>
        <v>4</v>
      </c>
      <c r="S8" s="3">
        <f t="array" ref="S8:S9">MMULT($B$4:$C$5,S1:S2)</f>
        <v>4</v>
      </c>
      <c r="T8" s="3">
        <f t="array" ref="T8:T9">MMULT($B$4:$C$5,T1:T2)</f>
        <v>4</v>
      </c>
      <c r="U8" s="3">
        <f t="array" ref="U8:U9">MMULT($B$4:$C$5,U1:U2)</f>
        <v>4</v>
      </c>
      <c r="V8" s="3">
        <f t="array" ref="V8:V9">MMULT($B$4:$C$5,V1:V2)</f>
        <v>4</v>
      </c>
      <c r="W8" s="3">
        <f t="array" ref="W8:W9">MMULT($B$4:$C$5,W1:W2)</f>
        <v>4</v>
      </c>
      <c r="X8" s="3">
        <f t="array" ref="X8:X9">MMULT($B$4:$C$5,X1:X2)</f>
        <v>4</v>
      </c>
      <c r="Y8" s="3">
        <f t="array" ref="Y8:Y9">MMULT($B$4:$C$5,Y1:Y2)</f>
        <v>5</v>
      </c>
      <c r="Z8" s="3">
        <f t="array" ref="Z8:Z9">MMULT($B$4:$C$5,Z1:Z2)</f>
        <v>6</v>
      </c>
      <c r="AA8" s="3">
        <f t="array" ref="AA8:AA9">MMULT($B$4:$C$5,AA1:AA2)</f>
        <v>7</v>
      </c>
      <c r="AB8" s="3">
        <f t="array" ref="AB8:AB9">MMULT($B$4:$C$5,AB1:AB2)</f>
        <v>6</v>
      </c>
      <c r="AC8" s="3">
        <f t="array" ref="AC8:AC9">MMULT($B$4:$C$5,AC1:AC2)</f>
        <v>6</v>
      </c>
      <c r="AD8" s="3">
        <f t="array" ref="AD8:AD9">MMULT($B$4:$C$5,AD1:AD2)</f>
        <v>6</v>
      </c>
      <c r="AE8" s="3">
        <f t="array" ref="AE8:AE9">MMULT($B$4:$C$5,AE1:AE2)</f>
        <v>6</v>
      </c>
      <c r="AF8" s="3">
        <f t="array" ref="AF8:AF9">MMULT($B$4:$C$5,AF1:AF2)</f>
        <v>6</v>
      </c>
      <c r="AG8" s="3">
        <f t="array" ref="AG8:AG9">MMULT($B$4:$C$5,AG1:AG2)</f>
        <v>6</v>
      </c>
      <c r="AH8" s="3">
        <f t="array" ref="AH8:AH9">MMULT($B$4:$C$5,AH1:AH2)</f>
        <v>6</v>
      </c>
      <c r="AI8" s="3">
        <f t="array" ref="AI8:AI9">MMULT($B$4:$C$5,AI1:AI2)</f>
        <v>6</v>
      </c>
      <c r="AJ8" s="3">
        <f t="array" ref="AJ8:AJ9">MMULT($B$4:$C$5,AJ1:AJ2)</f>
        <v>6</v>
      </c>
      <c r="AK8" s="3">
        <f t="array" ref="AK8:AK9">MMULT($B$4:$C$5,AK1:AK2)</f>
        <v>6</v>
      </c>
      <c r="AL8" s="3">
        <f t="array" ref="AL8:AL9">MMULT($B$4:$C$5,AL1:AL2)</f>
        <v>5</v>
      </c>
      <c r="AM8" s="3">
        <f t="array" ref="AM8:AM9">MMULT($B$4:$C$5,AM1:AM2)</f>
        <v>7</v>
      </c>
      <c r="AN8" s="3">
        <f t="array" ref="AN8:AN9">MMULT($B$4:$C$5,AN1:AN2)</f>
        <v>4</v>
      </c>
      <c r="AO8" s="3">
        <f t="array" ref="AO8:AO9">MMULT($B$4:$C$5,AO1:AO2)</f>
        <v>1</v>
      </c>
      <c r="AP8" s="3">
        <f t="array" ref="AP8:AP9">MMULT($B$4:$C$5,AP1:AP2)</f>
        <v>1</v>
      </c>
      <c r="AQ8" s="3">
        <f t="array" ref="AQ8:AQ9">MMULT($B$4:$C$5,AQ1:AQ2)</f>
        <v>1</v>
      </c>
      <c r="AR8" s="3">
        <f t="array" ref="AR8:AR9">MMULT($B$4:$C$5,AR1:AR2)</f>
        <v>1</v>
      </c>
      <c r="AS8" s="3">
        <f t="array" ref="AS8:AS9">MMULT($B$4:$C$5,AS1:AS2)</f>
        <v>1</v>
      </c>
      <c r="AT8" s="3">
        <f t="array" ref="AT8:AT9">MMULT($B$4:$C$5,AT1:AT2)</f>
        <v>1</v>
      </c>
      <c r="AU8" s="3">
        <f t="array" ref="AU8:AU9">MMULT($B$4:$C$5,AU1:AU2)</f>
        <v>1</v>
      </c>
      <c r="AV8" s="3">
        <f t="array" ref="AV8:AV9">MMULT($B$4:$C$5,AV1:AV2)</f>
        <v>1</v>
      </c>
      <c r="AW8" s="3">
        <f t="array" ref="AW8:AW9">MMULT($B$4:$C$5,AW1:AW2)</f>
        <v>1</v>
      </c>
      <c r="AX8" s="3">
        <f t="array" ref="AX8:AX9">MMULT($B$4:$C$5,AX1:AX2)</f>
        <v>1</v>
      </c>
      <c r="AY8" s="3">
        <f t="array" ref="AY8:AY9">MMULT($B$4:$C$5,AY1:AY2)</f>
        <v>1.5</v>
      </c>
      <c r="AZ8" s="3">
        <f t="array" ref="AZ8:AZ9">MMULT($B$4:$C$5,AZ1:AZ2)</f>
        <v>2.5</v>
      </c>
      <c r="BA8" s="3">
        <f t="array" ref="BA8:BA9">MMULT($B$4:$C$5,BA1:BA2)</f>
        <v>3.5</v>
      </c>
      <c r="BB8" s="3">
        <f t="array" ref="BB8:BB9">MMULT($B$4:$C$5,BB1:BB2)</f>
        <v>4</v>
      </c>
      <c r="BC8" s="3">
        <f t="array" ref="BC8:BC9">MMULT($B$4:$C$5,BC1:BC2)</f>
        <v>4</v>
      </c>
      <c r="BD8" s="3">
        <f t="array" ref="BD8:BD9">MMULT($B$4:$C$5,BD1:BD2)</f>
        <v>4</v>
      </c>
      <c r="BE8" s="3">
        <f t="array" ref="BE8:BE9">MMULT($B$4:$C$5,BE1:BE2)</f>
        <v>4</v>
      </c>
      <c r="BF8" s="3">
        <f t="array" ref="BF8:BF9">MMULT($B$4:$C$5,BF1:BF2)</f>
        <v>4</v>
      </c>
      <c r="BG8" s="3">
        <f t="array" ref="BG8:BG9">MMULT($B$4:$C$5,BG1:BG2)</f>
        <v>4</v>
      </c>
      <c r="BH8" s="3">
        <f t="array" ref="BH8:BH9">MMULT($B$4:$C$5,BH1:BH2)</f>
        <v>4</v>
      </c>
      <c r="BI8" s="3">
        <f t="array" ref="BI8:BI9">MMULT($B$4:$C$5,BI1:BI2)</f>
        <v>4</v>
      </c>
      <c r="BJ8" s="3">
        <f t="array" ref="BJ8:BJ9">MMULT($B$4:$C$5,BJ1:BJ2)</f>
        <v>4</v>
      </c>
      <c r="BK8" s="3">
        <f t="array" ref="BK8:BK9">MMULT($B$4:$C$5,BK1:BK2)</f>
        <v>4</v>
      </c>
      <c r="BL8" s="3">
        <f t="array" ref="BL8:BL9">MMULT($B$4:$C$5,BL1:BL2)</f>
        <v>6</v>
      </c>
      <c r="BM8" s="3">
        <f t="array" ref="BM8:BM9">MMULT($B$4:$C$5,BM1:BM2)</f>
        <v>6</v>
      </c>
      <c r="BN8" s="3">
        <f t="array" ref="BN8:BN9">MMULT($B$4:$C$5,BN1:BN2)</f>
        <v>6</v>
      </c>
      <c r="BO8" s="3">
        <f t="array" ref="BO8:BO9">MMULT($B$4:$C$5,BO1:BO2)</f>
        <v>6</v>
      </c>
      <c r="BP8" s="3">
        <f t="array" ref="BP8:BP9">MMULT($B$4:$C$5,BP1:BP2)</f>
        <v>6</v>
      </c>
      <c r="BQ8" s="3">
        <f t="array" ref="BQ8:BQ9">MMULT($B$4:$C$5,BQ1:BQ2)</f>
        <v>6</v>
      </c>
      <c r="BR8" s="3">
        <f t="array" ref="BR8:BR9">MMULT($B$4:$C$5,BR1:BR2)</f>
        <v>6</v>
      </c>
      <c r="BS8" s="3">
        <f t="array" ref="BS8:BS9">MMULT($B$4:$C$5,BS1:BS2)</f>
        <v>6</v>
      </c>
      <c r="BT8" s="3">
        <f t="array" ref="BT8:BT9">MMULT($B$4:$C$5,BT1:BT2)</f>
        <v>6</v>
      </c>
      <c r="BU8" s="3">
        <f t="array" ref="BU8:BU9">MMULT($B$4:$C$5,BU1:BU2)</f>
        <v>6</v>
      </c>
      <c r="BV8" s="3">
        <f t="array" ref="BV8:BV9">MMULT($B$4:$C$5,BV1:BV2)</f>
        <v>5.5</v>
      </c>
      <c r="BW8" s="3">
        <f t="array" ref="BW8:BW9">MMULT($B$4:$C$5,BW1:BW2)</f>
        <v>6.5</v>
      </c>
      <c r="BX8" s="3">
        <f t="array" ref="BX8:BX9">MMULT($B$4:$C$5,BX1:BX2)</f>
        <v>5.5</v>
      </c>
      <c r="BY8" s="3">
        <f t="array" ref="BY8:BY9">MMULT($B$4:$C$5,BY1:BY2)</f>
        <v>6.5</v>
      </c>
    </row>
    <row r="9" spans="1:77" x14ac:dyDescent="0.4">
      <c r="A9" s="1" t="s">
        <v>3</v>
      </c>
      <c r="B9" s="3">
        <v>0</v>
      </c>
      <c r="C9" s="3">
        <v>1</v>
      </c>
      <c r="D9" s="3">
        <v>2</v>
      </c>
      <c r="E9" s="3">
        <v>3</v>
      </c>
      <c r="F9" s="3">
        <v>4</v>
      </c>
      <c r="G9" s="3">
        <v>5</v>
      </c>
      <c r="H9" s="3">
        <v>6</v>
      </c>
      <c r="I9" s="3">
        <v>7</v>
      </c>
      <c r="J9" s="3">
        <v>8</v>
      </c>
      <c r="K9" s="3">
        <v>9</v>
      </c>
      <c r="L9" s="3">
        <v>10</v>
      </c>
      <c r="M9" s="3">
        <v>5</v>
      </c>
      <c r="N9" s="3">
        <v>5</v>
      </c>
      <c r="O9" s="3">
        <v>1</v>
      </c>
      <c r="P9" s="3">
        <v>2</v>
      </c>
      <c r="Q9" s="3">
        <v>3</v>
      </c>
      <c r="R9" s="3">
        <v>4</v>
      </c>
      <c r="S9" s="3">
        <v>5</v>
      </c>
      <c r="T9" s="3">
        <v>6</v>
      </c>
      <c r="U9" s="3">
        <v>7</v>
      </c>
      <c r="V9" s="3">
        <v>8</v>
      </c>
      <c r="W9" s="3">
        <v>9</v>
      </c>
      <c r="X9" s="3">
        <v>10</v>
      </c>
      <c r="Y9" s="3">
        <v>0</v>
      </c>
      <c r="Z9" s="3">
        <v>0</v>
      </c>
      <c r="AA9" s="3">
        <v>0</v>
      </c>
      <c r="AB9" s="3">
        <v>1</v>
      </c>
      <c r="AC9" s="3">
        <v>2</v>
      </c>
      <c r="AD9" s="3">
        <v>3</v>
      </c>
      <c r="AE9" s="3">
        <v>4</v>
      </c>
      <c r="AF9" s="3">
        <v>5</v>
      </c>
      <c r="AG9" s="3">
        <v>6</v>
      </c>
      <c r="AH9" s="3">
        <v>7</v>
      </c>
      <c r="AI9" s="3">
        <v>8</v>
      </c>
      <c r="AJ9" s="3">
        <v>9</v>
      </c>
      <c r="AK9" s="3">
        <v>10</v>
      </c>
      <c r="AL9" s="3">
        <v>10</v>
      </c>
      <c r="AM9" s="3">
        <v>10</v>
      </c>
      <c r="AN9" s="3">
        <v>0</v>
      </c>
      <c r="AO9" s="3">
        <v>0.5</v>
      </c>
      <c r="AP9" s="3">
        <v>1.5</v>
      </c>
      <c r="AQ9" s="3">
        <v>2.5</v>
      </c>
      <c r="AR9" s="3">
        <v>3.5</v>
      </c>
      <c r="AS9" s="3">
        <v>4.5</v>
      </c>
      <c r="AT9" s="3">
        <v>5.5</v>
      </c>
      <c r="AU9" s="3">
        <v>6.5</v>
      </c>
      <c r="AV9" s="3">
        <v>7.5</v>
      </c>
      <c r="AW9" s="3">
        <v>8.5</v>
      </c>
      <c r="AX9" s="3">
        <v>9.5</v>
      </c>
      <c r="AY9" s="3">
        <v>5</v>
      </c>
      <c r="AZ9" s="3">
        <v>5</v>
      </c>
      <c r="BA9" s="3">
        <v>5</v>
      </c>
      <c r="BB9" s="3">
        <v>0.5</v>
      </c>
      <c r="BC9" s="3">
        <v>1.5</v>
      </c>
      <c r="BD9" s="3">
        <v>2.5</v>
      </c>
      <c r="BE9" s="3">
        <v>3.5</v>
      </c>
      <c r="BF9" s="3">
        <v>4.5</v>
      </c>
      <c r="BG9" s="3">
        <v>5.5</v>
      </c>
      <c r="BH9" s="3">
        <v>6.5</v>
      </c>
      <c r="BI9" s="3">
        <v>7.5</v>
      </c>
      <c r="BJ9" s="3">
        <v>8.5</v>
      </c>
      <c r="BK9" s="3">
        <v>9.5</v>
      </c>
      <c r="BL9" s="3">
        <v>0.5</v>
      </c>
      <c r="BM9" s="3">
        <v>1.5</v>
      </c>
      <c r="BN9" s="3">
        <v>2.5</v>
      </c>
      <c r="BO9" s="3">
        <v>3.5</v>
      </c>
      <c r="BP9" s="3">
        <v>4.5</v>
      </c>
      <c r="BQ9" s="3">
        <v>5.5</v>
      </c>
      <c r="BR9" s="3">
        <v>6.5</v>
      </c>
      <c r="BS9" s="3">
        <v>7.5</v>
      </c>
      <c r="BT9" s="3">
        <v>8.5</v>
      </c>
      <c r="BU9" s="3">
        <v>9.5</v>
      </c>
      <c r="BV9" s="3">
        <v>0</v>
      </c>
      <c r="BW9" s="3">
        <v>0</v>
      </c>
      <c r="BX9" s="3">
        <v>10</v>
      </c>
      <c r="BY9" s="3">
        <v>10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elcome">
                <anchor moveWithCells="1" sizeWithCells="1">
                  <from>
                    <xdr:col>36</xdr:col>
                    <xdr:colOff>49530</xdr:colOff>
                    <xdr:row>3</xdr:row>
                    <xdr:rowOff>68580</xdr:rowOff>
                  </from>
                  <to>
                    <xdr:col>41</xdr:col>
                    <xdr:colOff>57150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P199"/>
  <sheetViews>
    <sheetView zoomScale="70" zoomScaleNormal="70" workbookViewId="0">
      <selection activeCell="T35" sqref="T35"/>
    </sheetView>
  </sheetViews>
  <sheetFormatPr defaultColWidth="9.1640625" defaultRowHeight="12.3" x14ac:dyDescent="0.4"/>
  <cols>
    <col min="1" max="1" width="9.1640625" style="9"/>
    <col min="2" max="2" width="10.5546875" style="11" bestFit="1" customWidth="1"/>
    <col min="3" max="4" width="10.5546875" style="11" customWidth="1"/>
    <col min="5" max="5" width="10.83203125" style="11" customWidth="1"/>
    <col min="6" max="9" width="10.83203125" style="9" customWidth="1"/>
    <col min="10" max="10" width="9.1640625" style="9"/>
    <col min="11" max="11" width="9.1640625" style="9" customWidth="1"/>
    <col min="12" max="16384" width="9.1640625" style="9"/>
  </cols>
  <sheetData>
    <row r="2" spans="1:16" s="6" customFormat="1" x14ac:dyDescent="0.4">
      <c r="A2" s="6" t="s">
        <v>9</v>
      </c>
      <c r="B2" s="8" t="s">
        <v>14</v>
      </c>
      <c r="C2" s="8" t="s">
        <v>6</v>
      </c>
      <c r="D2" s="8" t="s">
        <v>7</v>
      </c>
      <c r="E2" s="8" t="s">
        <v>8</v>
      </c>
      <c r="F2" s="8" t="s">
        <v>16</v>
      </c>
      <c r="G2" s="7" t="s">
        <v>22</v>
      </c>
      <c r="H2" s="7" t="s">
        <v>23</v>
      </c>
      <c r="I2" s="7" t="s">
        <v>24</v>
      </c>
      <c r="J2" s="7" t="s">
        <v>15</v>
      </c>
      <c r="K2" s="7" t="s">
        <v>18</v>
      </c>
      <c r="L2" s="8" t="s">
        <v>25</v>
      </c>
      <c r="M2" s="6" t="s">
        <v>17</v>
      </c>
      <c r="N2" s="8" t="s">
        <v>19</v>
      </c>
      <c r="O2" s="8" t="s">
        <v>20</v>
      </c>
      <c r="P2" s="8" t="s">
        <v>21</v>
      </c>
    </row>
    <row r="3" spans="1:16" x14ac:dyDescent="0.4">
      <c r="A3" s="9" t="s">
        <v>10</v>
      </c>
      <c r="B3" s="10">
        <v>15335.681</v>
      </c>
      <c r="C3" s="10">
        <v>19777.34</v>
      </c>
      <c r="D3" s="10"/>
      <c r="E3" s="10"/>
      <c r="F3" s="10">
        <f>B3*M3/10000</f>
        <v>1.5335681000000001</v>
      </c>
      <c r="G3" s="10">
        <f>IF(C3&gt;0,C3*N3/10000)</f>
        <v>1.9777340000000001</v>
      </c>
      <c r="H3" s="10"/>
      <c r="I3" s="10"/>
      <c r="J3" s="9">
        <v>0.1</v>
      </c>
      <c r="K3" s="9">
        <v>0.5</v>
      </c>
      <c r="L3" s="9">
        <f>MIN(1,MAX(K:K)/(MAX(J:J)))</f>
        <v>1</v>
      </c>
      <c r="M3" s="9">
        <f>IF(K3&gt;=J3,1,0)</f>
        <v>1</v>
      </c>
      <c r="N3" s="9">
        <f>IF(K3&gt;=J3,1,0)</f>
        <v>1</v>
      </c>
      <c r="O3" s="9">
        <f>IF(K3&gt;=J3,1,0)</f>
        <v>1</v>
      </c>
      <c r="P3" s="9">
        <f>IF(K3&gt;=J3,1,0)</f>
        <v>1</v>
      </c>
    </row>
    <row r="4" spans="1:16" x14ac:dyDescent="0.4">
      <c r="A4" s="9" t="s">
        <v>10</v>
      </c>
      <c r="B4" s="10">
        <v>15335.681</v>
      </c>
      <c r="C4" s="10">
        <v>19777.34</v>
      </c>
      <c r="D4" s="10"/>
      <c r="E4" s="10"/>
      <c r="F4" s="10">
        <f t="shared" ref="F4:F67" si="0">B4*M4/10000</f>
        <v>1.5335681000000001</v>
      </c>
      <c r="G4" s="10">
        <f t="shared" ref="G4:G67" si="1">IF(C4&lt;&gt;0,C4*N4/10000)</f>
        <v>1.9777340000000001</v>
      </c>
      <c r="H4" s="10"/>
      <c r="I4" s="10"/>
      <c r="J4" s="9">
        <v>22.167733333333331</v>
      </c>
      <c r="K4" s="9">
        <v>22.5</v>
      </c>
      <c r="M4" s="9">
        <f t="shared" ref="M4:M67" si="2">IF(K4&gt;=J4,1,0)</f>
        <v>1</v>
      </c>
      <c r="N4" s="9">
        <f t="shared" ref="N4:N67" si="3">IF(K4&gt;=J4,1,0)</f>
        <v>1</v>
      </c>
      <c r="O4" s="9">
        <f t="shared" ref="O4:O67" si="4">IF(K4&gt;=J4,1,0)</f>
        <v>1</v>
      </c>
      <c r="P4" s="9">
        <f t="shared" ref="P4:P67" si="5">IF(K4&gt;=J4,1,0)</f>
        <v>1</v>
      </c>
    </row>
    <row r="5" spans="1:16" x14ac:dyDescent="0.4">
      <c r="A5" s="9" t="s">
        <v>10</v>
      </c>
      <c r="B5" s="10">
        <v>15335.681</v>
      </c>
      <c r="C5" s="10">
        <v>19777.34</v>
      </c>
      <c r="D5" s="10"/>
      <c r="E5" s="10"/>
      <c r="F5" s="10">
        <f t="shared" si="0"/>
        <v>1.5335681000000001</v>
      </c>
      <c r="G5" s="10">
        <f t="shared" si="1"/>
        <v>1.9777340000000001</v>
      </c>
      <c r="H5" s="10"/>
      <c r="I5" s="10"/>
      <c r="J5" s="9">
        <v>22.667816666666681</v>
      </c>
      <c r="K5" s="9">
        <v>23</v>
      </c>
      <c r="M5" s="9">
        <f t="shared" si="2"/>
        <v>1</v>
      </c>
      <c r="N5" s="9">
        <f t="shared" si="3"/>
        <v>1</v>
      </c>
      <c r="O5" s="9">
        <f t="shared" si="4"/>
        <v>1</v>
      </c>
      <c r="P5" s="9">
        <f t="shared" si="5"/>
        <v>1</v>
      </c>
    </row>
    <row r="6" spans="1:16" x14ac:dyDescent="0.4">
      <c r="A6" s="9" t="s">
        <v>10</v>
      </c>
      <c r="B6" s="10">
        <v>16223.116</v>
      </c>
      <c r="C6" s="10">
        <v>23796.234</v>
      </c>
      <c r="D6" s="10"/>
      <c r="E6" s="10"/>
      <c r="F6" s="10">
        <f t="shared" si="0"/>
        <v>1.6223116</v>
      </c>
      <c r="G6" s="10">
        <f t="shared" si="1"/>
        <v>2.3796233999999998</v>
      </c>
      <c r="H6" s="10"/>
      <c r="I6" s="10"/>
      <c r="J6" s="9">
        <v>38.668549999999982</v>
      </c>
      <c r="K6" s="9">
        <v>39</v>
      </c>
      <c r="M6" s="9">
        <f t="shared" si="2"/>
        <v>1</v>
      </c>
      <c r="N6" s="9">
        <f t="shared" si="3"/>
        <v>1</v>
      </c>
      <c r="O6" s="9">
        <f t="shared" si="4"/>
        <v>1</v>
      </c>
      <c r="P6" s="9">
        <f t="shared" si="5"/>
        <v>1</v>
      </c>
    </row>
    <row r="7" spans="1:16" x14ac:dyDescent="0.4">
      <c r="A7" s="9" t="s">
        <v>10</v>
      </c>
      <c r="B7" s="10">
        <v>16223.116</v>
      </c>
      <c r="C7" s="10">
        <v>23796.234</v>
      </c>
      <c r="D7" s="10"/>
      <c r="E7" s="10"/>
      <c r="F7" s="10">
        <f t="shared" si="0"/>
        <v>1.6223116</v>
      </c>
      <c r="G7" s="10">
        <f t="shared" si="1"/>
        <v>2.3796233999999998</v>
      </c>
      <c r="H7" s="10"/>
      <c r="I7" s="10"/>
      <c r="J7" s="9">
        <v>38.668549999999982</v>
      </c>
      <c r="K7" s="9">
        <v>39.5</v>
      </c>
      <c r="M7" s="9">
        <f t="shared" si="2"/>
        <v>1</v>
      </c>
      <c r="N7" s="9">
        <f t="shared" si="3"/>
        <v>1</v>
      </c>
      <c r="O7" s="9">
        <f t="shared" si="4"/>
        <v>1</v>
      </c>
      <c r="P7" s="9">
        <f t="shared" si="5"/>
        <v>1</v>
      </c>
    </row>
    <row r="8" spans="1:16" x14ac:dyDescent="0.4">
      <c r="A8" s="9" t="s">
        <v>10</v>
      </c>
      <c r="B8" s="10">
        <v>16223.116</v>
      </c>
      <c r="C8" s="10">
        <v>23796.234</v>
      </c>
      <c r="D8" s="10"/>
      <c r="E8" s="10"/>
      <c r="F8" s="10">
        <f t="shared" si="0"/>
        <v>1.6223116</v>
      </c>
      <c r="G8" s="10">
        <f t="shared" si="1"/>
        <v>2.3796233999999998</v>
      </c>
      <c r="H8" s="10"/>
      <c r="I8" s="10"/>
      <c r="J8" s="9">
        <v>38.668549999999982</v>
      </c>
      <c r="K8" s="9">
        <v>40</v>
      </c>
      <c r="M8" s="9">
        <f t="shared" si="2"/>
        <v>1</v>
      </c>
      <c r="N8" s="9">
        <f t="shared" si="3"/>
        <v>1</v>
      </c>
      <c r="O8" s="9">
        <f t="shared" si="4"/>
        <v>1</v>
      </c>
      <c r="P8" s="9">
        <f t="shared" si="5"/>
        <v>1</v>
      </c>
    </row>
    <row r="9" spans="1:16" x14ac:dyDescent="0.4">
      <c r="A9" s="9" t="s">
        <v>10</v>
      </c>
      <c r="B9" s="10">
        <v>16223.116</v>
      </c>
      <c r="C9" s="10">
        <v>23796.234</v>
      </c>
      <c r="D9" s="10"/>
      <c r="E9" s="10"/>
      <c r="F9" s="10">
        <f t="shared" si="0"/>
        <v>1.6223116</v>
      </c>
      <c r="G9" s="10">
        <f t="shared" si="1"/>
        <v>2.3796233999999998</v>
      </c>
      <c r="H9" s="10"/>
      <c r="I9" s="10"/>
      <c r="J9" s="9">
        <v>38.668549999999982</v>
      </c>
      <c r="K9" s="9">
        <v>40.5</v>
      </c>
      <c r="M9" s="9">
        <f t="shared" si="2"/>
        <v>1</v>
      </c>
      <c r="N9" s="9">
        <f t="shared" si="3"/>
        <v>1</v>
      </c>
      <c r="O9" s="9">
        <f t="shared" si="4"/>
        <v>1</v>
      </c>
      <c r="P9" s="9">
        <f t="shared" si="5"/>
        <v>1</v>
      </c>
    </row>
    <row r="10" spans="1:16" x14ac:dyDescent="0.4">
      <c r="A10" s="9" t="s">
        <v>10</v>
      </c>
      <c r="B10" s="10">
        <v>16223.116</v>
      </c>
      <c r="C10" s="10">
        <v>23796.234</v>
      </c>
      <c r="D10" s="10"/>
      <c r="E10" s="10"/>
      <c r="F10" s="10">
        <f t="shared" si="0"/>
        <v>1.6223116</v>
      </c>
      <c r="G10" s="10">
        <f t="shared" si="1"/>
        <v>2.3796233999999998</v>
      </c>
      <c r="H10" s="10"/>
      <c r="I10" s="10"/>
      <c r="J10" s="9">
        <v>38.668549999999982</v>
      </c>
      <c r="K10" s="9">
        <v>41</v>
      </c>
      <c r="M10" s="9">
        <f t="shared" si="2"/>
        <v>1</v>
      </c>
      <c r="N10" s="9">
        <f t="shared" si="3"/>
        <v>1</v>
      </c>
      <c r="O10" s="9">
        <f t="shared" si="4"/>
        <v>1</v>
      </c>
      <c r="P10" s="9">
        <f t="shared" si="5"/>
        <v>1</v>
      </c>
    </row>
    <row r="11" spans="1:16" x14ac:dyDescent="0.4">
      <c r="A11" s="9" t="s">
        <v>10</v>
      </c>
      <c r="B11" s="10">
        <v>16223.116</v>
      </c>
      <c r="C11" s="10">
        <v>23796.234</v>
      </c>
      <c r="D11" s="10"/>
      <c r="E11" s="10"/>
      <c r="F11" s="10">
        <f t="shared" si="0"/>
        <v>1.6223116</v>
      </c>
      <c r="G11" s="10">
        <f t="shared" si="1"/>
        <v>2.3796233999999998</v>
      </c>
      <c r="H11" s="10"/>
      <c r="I11" s="10"/>
      <c r="J11" s="9">
        <v>38.668549999999982</v>
      </c>
      <c r="K11" s="9">
        <v>41.5</v>
      </c>
      <c r="M11" s="9">
        <f t="shared" si="2"/>
        <v>1</v>
      </c>
      <c r="N11" s="9">
        <f t="shared" si="3"/>
        <v>1</v>
      </c>
      <c r="O11" s="9">
        <f t="shared" si="4"/>
        <v>1</v>
      </c>
      <c r="P11" s="9">
        <f t="shared" si="5"/>
        <v>1</v>
      </c>
    </row>
    <row r="12" spans="1:16" x14ac:dyDescent="0.4">
      <c r="A12" s="9" t="s">
        <v>10</v>
      </c>
      <c r="B12" s="10">
        <v>16223.116</v>
      </c>
      <c r="C12" s="10">
        <v>23796.234</v>
      </c>
      <c r="D12" s="10"/>
      <c r="E12" s="10"/>
      <c r="F12" s="10">
        <f t="shared" si="0"/>
        <v>1.6223116</v>
      </c>
      <c r="G12" s="10">
        <f t="shared" si="1"/>
        <v>2.3796233999999998</v>
      </c>
      <c r="H12" s="10"/>
      <c r="I12" s="10"/>
      <c r="J12" s="9">
        <v>38.668549999999982</v>
      </c>
      <c r="K12" s="9">
        <v>42</v>
      </c>
      <c r="M12" s="9">
        <f t="shared" si="2"/>
        <v>1</v>
      </c>
      <c r="N12" s="9">
        <f t="shared" si="3"/>
        <v>1</v>
      </c>
      <c r="O12" s="9">
        <f t="shared" si="4"/>
        <v>1</v>
      </c>
      <c r="P12" s="9">
        <f t="shared" si="5"/>
        <v>1</v>
      </c>
    </row>
    <row r="13" spans="1:16" x14ac:dyDescent="0.4">
      <c r="A13" s="9" t="s">
        <v>10</v>
      </c>
      <c r="B13" s="10">
        <v>16223.116</v>
      </c>
      <c r="C13" s="10">
        <v>23796.234</v>
      </c>
      <c r="D13" s="10"/>
      <c r="E13" s="10"/>
      <c r="F13" s="10">
        <f t="shared" si="0"/>
        <v>1.6223116</v>
      </c>
      <c r="G13" s="10">
        <f t="shared" si="1"/>
        <v>2.3796233999999998</v>
      </c>
      <c r="H13" s="10"/>
      <c r="I13" s="10"/>
      <c r="J13" s="9">
        <v>38.668600000000083</v>
      </c>
      <c r="K13" s="9">
        <v>42.5</v>
      </c>
      <c r="M13" s="9">
        <f t="shared" si="2"/>
        <v>1</v>
      </c>
      <c r="N13" s="9">
        <f t="shared" si="3"/>
        <v>1</v>
      </c>
      <c r="O13" s="9">
        <f t="shared" si="4"/>
        <v>1</v>
      </c>
      <c r="P13" s="9">
        <f t="shared" si="5"/>
        <v>1</v>
      </c>
    </row>
    <row r="14" spans="1:16" x14ac:dyDescent="0.4">
      <c r="A14" s="9" t="s">
        <v>10</v>
      </c>
      <c r="B14" s="10">
        <v>16223.116</v>
      </c>
      <c r="C14" s="10">
        <v>23796.234</v>
      </c>
      <c r="D14" s="10"/>
      <c r="E14" s="10"/>
      <c r="F14" s="10">
        <f t="shared" si="0"/>
        <v>1.6223116</v>
      </c>
      <c r="G14" s="10">
        <f t="shared" si="1"/>
        <v>2.3796233999999998</v>
      </c>
      <c r="H14" s="10"/>
      <c r="I14" s="10"/>
      <c r="J14" s="9">
        <v>38.668600000000083</v>
      </c>
      <c r="K14" s="9">
        <v>43</v>
      </c>
      <c r="M14" s="9">
        <f t="shared" si="2"/>
        <v>1</v>
      </c>
      <c r="N14" s="9">
        <f t="shared" si="3"/>
        <v>1</v>
      </c>
      <c r="O14" s="9">
        <f t="shared" si="4"/>
        <v>1</v>
      </c>
      <c r="P14" s="9">
        <f t="shared" si="5"/>
        <v>1</v>
      </c>
    </row>
    <row r="15" spans="1:16" x14ac:dyDescent="0.4">
      <c r="A15" s="9" t="s">
        <v>10</v>
      </c>
      <c r="B15" s="10">
        <v>16195.412</v>
      </c>
      <c r="C15" s="10">
        <v>23837.083999999999</v>
      </c>
      <c r="D15" s="10"/>
      <c r="E15" s="10"/>
      <c r="F15" s="10">
        <f t="shared" si="0"/>
        <v>1.6195412</v>
      </c>
      <c r="G15" s="10">
        <f t="shared" si="1"/>
        <v>2.3837083999999997</v>
      </c>
      <c r="H15" s="10"/>
      <c r="I15" s="10"/>
      <c r="J15" s="9">
        <v>43.668800000000033</v>
      </c>
      <c r="K15" s="9">
        <v>44</v>
      </c>
      <c r="M15" s="9">
        <f t="shared" si="2"/>
        <v>1</v>
      </c>
      <c r="N15" s="9">
        <f t="shared" si="3"/>
        <v>1</v>
      </c>
      <c r="O15" s="9">
        <f t="shared" si="4"/>
        <v>1</v>
      </c>
      <c r="P15" s="9">
        <f t="shared" si="5"/>
        <v>1</v>
      </c>
    </row>
    <row r="16" spans="1:16" x14ac:dyDescent="0.4">
      <c r="A16" s="9" t="s">
        <v>10</v>
      </c>
      <c r="B16" s="10">
        <v>16195.412</v>
      </c>
      <c r="C16" s="10">
        <v>23837.083999999999</v>
      </c>
      <c r="D16" s="10"/>
      <c r="E16" s="10"/>
      <c r="F16" s="10">
        <f t="shared" si="0"/>
        <v>1.6195412</v>
      </c>
      <c r="G16" s="10">
        <f t="shared" si="1"/>
        <v>2.3837083999999997</v>
      </c>
      <c r="H16" s="10"/>
      <c r="I16" s="10"/>
      <c r="J16" s="9">
        <v>43.668800000000033</v>
      </c>
      <c r="K16" s="9">
        <v>44.5</v>
      </c>
      <c r="M16" s="9">
        <f t="shared" si="2"/>
        <v>1</v>
      </c>
      <c r="N16" s="9">
        <f t="shared" si="3"/>
        <v>1</v>
      </c>
      <c r="O16" s="9">
        <f t="shared" si="4"/>
        <v>1</v>
      </c>
      <c r="P16" s="9">
        <f t="shared" si="5"/>
        <v>1</v>
      </c>
    </row>
    <row r="17" spans="1:16" x14ac:dyDescent="0.4">
      <c r="A17" s="9" t="s">
        <v>10</v>
      </c>
      <c r="B17" s="10">
        <v>16195.412</v>
      </c>
      <c r="C17" s="10">
        <v>23837.083999999999</v>
      </c>
      <c r="D17" s="10"/>
      <c r="E17" s="10"/>
      <c r="F17" s="10">
        <f t="shared" si="0"/>
        <v>1.6195412</v>
      </c>
      <c r="G17" s="10">
        <f t="shared" si="1"/>
        <v>2.3837083999999997</v>
      </c>
      <c r="H17" s="10"/>
      <c r="I17" s="10"/>
      <c r="J17" s="9">
        <v>43.668800000000033</v>
      </c>
      <c r="K17" s="9">
        <v>45</v>
      </c>
      <c r="M17" s="9">
        <f t="shared" si="2"/>
        <v>1</v>
      </c>
      <c r="N17" s="9">
        <f t="shared" si="3"/>
        <v>1</v>
      </c>
      <c r="O17" s="9">
        <f t="shared" si="4"/>
        <v>1</v>
      </c>
      <c r="P17" s="9">
        <f t="shared" si="5"/>
        <v>1</v>
      </c>
    </row>
    <row r="18" spans="1:16" x14ac:dyDescent="0.4">
      <c r="A18" s="9" t="s">
        <v>10</v>
      </c>
      <c r="B18" s="10">
        <v>16195.412</v>
      </c>
      <c r="C18" s="10">
        <v>23837.083999999999</v>
      </c>
      <c r="D18" s="10"/>
      <c r="E18" s="10"/>
      <c r="F18" s="10">
        <f t="shared" si="0"/>
        <v>1.6195412</v>
      </c>
      <c r="G18" s="10">
        <f t="shared" si="1"/>
        <v>2.3837083999999997</v>
      </c>
      <c r="H18" s="10"/>
      <c r="I18" s="10"/>
      <c r="J18" s="9">
        <v>43.668800000000033</v>
      </c>
      <c r="K18" s="9">
        <v>45.5</v>
      </c>
      <c r="M18" s="9">
        <f t="shared" si="2"/>
        <v>1</v>
      </c>
      <c r="N18" s="9">
        <f t="shared" si="3"/>
        <v>1</v>
      </c>
      <c r="O18" s="9">
        <f t="shared" si="4"/>
        <v>1</v>
      </c>
      <c r="P18" s="9">
        <f t="shared" si="5"/>
        <v>1</v>
      </c>
    </row>
    <row r="19" spans="1:16" x14ac:dyDescent="0.4">
      <c r="A19" s="9" t="s">
        <v>11</v>
      </c>
      <c r="B19" s="11">
        <v>18390.358</v>
      </c>
      <c r="C19" s="10"/>
      <c r="D19" s="10">
        <v>19654.541000000001</v>
      </c>
      <c r="E19" s="10"/>
      <c r="F19" s="10">
        <f t="shared" si="0"/>
        <v>1.8390358</v>
      </c>
      <c r="G19" s="10"/>
      <c r="H19" s="10">
        <f>IF(D19&lt;&gt;0,D19*O19/10000)</f>
        <v>1.9654541000000001</v>
      </c>
      <c r="I19" s="10"/>
      <c r="J19" s="9">
        <v>50.94888333333347</v>
      </c>
      <c r="K19" s="9">
        <v>51</v>
      </c>
      <c r="M19" s="9">
        <f t="shared" si="2"/>
        <v>1</v>
      </c>
      <c r="N19" s="9">
        <f t="shared" si="3"/>
        <v>1</v>
      </c>
      <c r="O19" s="9">
        <f t="shared" si="4"/>
        <v>1</v>
      </c>
      <c r="P19" s="9">
        <f t="shared" si="5"/>
        <v>1</v>
      </c>
    </row>
    <row r="20" spans="1:16" x14ac:dyDescent="0.4">
      <c r="A20" s="9" t="s">
        <v>11</v>
      </c>
      <c r="B20" s="11">
        <v>18390.172999999999</v>
      </c>
      <c r="C20" s="10"/>
      <c r="D20" s="10">
        <v>19657.116999999998</v>
      </c>
      <c r="E20" s="10"/>
      <c r="F20" s="10">
        <f t="shared" si="0"/>
        <v>1.8390172999999999</v>
      </c>
      <c r="G20" s="10"/>
      <c r="H20" s="10">
        <f>IF(D20&lt;&gt;0,D20*O20/10000)</f>
        <v>1.9657116999999997</v>
      </c>
      <c r="I20" s="10"/>
      <c r="J20" s="9">
        <v>51.05266666666671</v>
      </c>
      <c r="K20" s="9">
        <v>51.5</v>
      </c>
      <c r="M20" s="9">
        <f t="shared" si="2"/>
        <v>1</v>
      </c>
      <c r="N20" s="9">
        <f t="shared" si="3"/>
        <v>1</v>
      </c>
      <c r="O20" s="9">
        <f t="shared" si="4"/>
        <v>1</v>
      </c>
      <c r="P20" s="9">
        <f t="shared" si="5"/>
        <v>1</v>
      </c>
    </row>
    <row r="21" spans="1:16" x14ac:dyDescent="0.4">
      <c r="A21" s="9" t="s">
        <v>11</v>
      </c>
      <c r="B21" s="11">
        <v>18390.172999999999</v>
      </c>
      <c r="C21" s="10"/>
      <c r="D21" s="10">
        <v>19657.116999999998</v>
      </c>
      <c r="E21" s="10"/>
      <c r="F21" s="10">
        <f t="shared" si="0"/>
        <v>1.8390172999999999</v>
      </c>
      <c r="G21" s="10"/>
      <c r="H21" s="10">
        <f>IF(D21&lt;&gt;0,D21*O21/10000)</f>
        <v>1.9657116999999997</v>
      </c>
      <c r="I21" s="10"/>
      <c r="J21" s="9">
        <v>51.303533333333348</v>
      </c>
      <c r="K21" s="9">
        <v>52</v>
      </c>
      <c r="M21" s="9">
        <f t="shared" si="2"/>
        <v>1</v>
      </c>
      <c r="N21" s="9">
        <f t="shared" si="3"/>
        <v>1</v>
      </c>
      <c r="O21" s="9">
        <f t="shared" si="4"/>
        <v>1</v>
      </c>
      <c r="P21" s="9">
        <f t="shared" si="5"/>
        <v>1</v>
      </c>
    </row>
    <row r="22" spans="1:16" x14ac:dyDescent="0.4">
      <c r="A22" s="9" t="s">
        <v>10</v>
      </c>
      <c r="B22" s="10">
        <v>3618.7280000000001</v>
      </c>
      <c r="C22" s="10">
        <v>25382.304</v>
      </c>
      <c r="D22" s="10"/>
      <c r="E22" s="10"/>
      <c r="F22" s="10">
        <f t="shared" si="0"/>
        <v>0.36187279999999999</v>
      </c>
      <c r="G22" s="10">
        <f t="shared" si="1"/>
        <v>2.5382304000000002</v>
      </c>
      <c r="H22" s="10"/>
      <c r="I22" s="10"/>
      <c r="J22" s="9">
        <v>53.336000000000013</v>
      </c>
      <c r="K22" s="9">
        <v>53.5</v>
      </c>
      <c r="M22" s="9">
        <f t="shared" si="2"/>
        <v>1</v>
      </c>
      <c r="N22" s="9">
        <f t="shared" si="3"/>
        <v>1</v>
      </c>
      <c r="O22" s="9">
        <f t="shared" si="4"/>
        <v>1</v>
      </c>
      <c r="P22" s="9">
        <f t="shared" si="5"/>
        <v>1</v>
      </c>
    </row>
    <row r="23" spans="1:16" x14ac:dyDescent="0.4">
      <c r="A23" s="9" t="s">
        <v>11</v>
      </c>
      <c r="B23" s="11">
        <v>2369.2750000000001</v>
      </c>
      <c r="C23" s="10"/>
      <c r="D23" s="10">
        <v>24902.243999999999</v>
      </c>
      <c r="E23" s="10"/>
      <c r="F23" s="10">
        <f t="shared" si="0"/>
        <v>0.23692750000000001</v>
      </c>
      <c r="G23" s="10"/>
      <c r="H23" s="10">
        <f>IF(D23&lt;&gt;0,D23*O23/10000)</f>
        <v>2.4902243999999998</v>
      </c>
      <c r="I23" s="10"/>
      <c r="J23" s="9">
        <v>64.005416666666747</v>
      </c>
      <c r="K23" s="9">
        <v>64.5</v>
      </c>
      <c r="M23" s="9">
        <f t="shared" si="2"/>
        <v>1</v>
      </c>
      <c r="N23" s="9">
        <f t="shared" si="3"/>
        <v>1</v>
      </c>
      <c r="O23" s="9">
        <f t="shared" si="4"/>
        <v>1</v>
      </c>
      <c r="P23" s="9">
        <f t="shared" si="5"/>
        <v>1</v>
      </c>
    </row>
    <row r="24" spans="1:16" x14ac:dyDescent="0.4">
      <c r="A24" s="9" t="s">
        <v>10</v>
      </c>
      <c r="B24" s="10">
        <v>4756.6329999999998</v>
      </c>
      <c r="C24" s="10">
        <v>24893.141</v>
      </c>
      <c r="D24" s="10"/>
      <c r="E24" s="10"/>
      <c r="F24" s="10">
        <f t="shared" si="0"/>
        <v>0.47566329999999996</v>
      </c>
      <c r="G24" s="10">
        <f t="shared" si="1"/>
        <v>2.4893141000000001</v>
      </c>
      <c r="H24" s="10"/>
      <c r="I24" s="10"/>
      <c r="J24" s="9">
        <v>66.503399999999942</v>
      </c>
      <c r="K24" s="9">
        <v>67</v>
      </c>
      <c r="M24" s="9">
        <f t="shared" si="2"/>
        <v>1</v>
      </c>
      <c r="N24" s="9">
        <f t="shared" si="3"/>
        <v>1</v>
      </c>
      <c r="O24" s="9">
        <f t="shared" si="4"/>
        <v>1</v>
      </c>
      <c r="P24" s="9">
        <f t="shared" si="5"/>
        <v>1</v>
      </c>
    </row>
    <row r="25" spans="1:16" x14ac:dyDescent="0.4">
      <c r="A25" s="9" t="s">
        <v>10</v>
      </c>
      <c r="B25" s="10">
        <v>18472.302</v>
      </c>
      <c r="C25" s="10">
        <v>19537.781999999999</v>
      </c>
      <c r="D25" s="10"/>
      <c r="E25" s="10"/>
      <c r="F25" s="10">
        <f t="shared" si="0"/>
        <v>1.8472302</v>
      </c>
      <c r="G25" s="10">
        <f t="shared" si="1"/>
        <v>1.9537781999999999</v>
      </c>
      <c r="H25" s="10"/>
      <c r="I25" s="10"/>
      <c r="J25" s="9">
        <v>72.337016666666614</v>
      </c>
      <c r="K25" s="9">
        <v>72.5</v>
      </c>
      <c r="M25" s="9">
        <f t="shared" si="2"/>
        <v>1</v>
      </c>
      <c r="N25" s="9">
        <f t="shared" si="3"/>
        <v>1</v>
      </c>
      <c r="O25" s="9">
        <f t="shared" si="4"/>
        <v>1</v>
      </c>
      <c r="P25" s="9">
        <f t="shared" si="5"/>
        <v>1</v>
      </c>
    </row>
    <row r="26" spans="1:16" x14ac:dyDescent="0.4">
      <c r="A26" s="9" t="s">
        <v>10</v>
      </c>
      <c r="B26" s="10">
        <v>2093.9009999999998</v>
      </c>
      <c r="C26" s="10">
        <v>24712.694</v>
      </c>
      <c r="D26" s="10"/>
      <c r="E26" s="10"/>
      <c r="F26" s="10">
        <f t="shared" si="0"/>
        <v>0.2093901</v>
      </c>
      <c r="G26" s="10">
        <f t="shared" si="1"/>
        <v>2.4712694000000002</v>
      </c>
      <c r="H26" s="10"/>
      <c r="I26" s="10"/>
      <c r="J26" s="9">
        <v>76.837283333333403</v>
      </c>
      <c r="K26" s="9">
        <v>77</v>
      </c>
      <c r="M26" s="9">
        <f t="shared" si="2"/>
        <v>1</v>
      </c>
      <c r="N26" s="9">
        <f t="shared" si="3"/>
        <v>1</v>
      </c>
      <c r="O26" s="9">
        <f t="shared" si="4"/>
        <v>1</v>
      </c>
      <c r="P26" s="9">
        <f t="shared" si="5"/>
        <v>1</v>
      </c>
    </row>
    <row r="27" spans="1:16" x14ac:dyDescent="0.4">
      <c r="A27" s="9" t="s">
        <v>10</v>
      </c>
      <c r="B27" s="10">
        <v>2093.9009999999998</v>
      </c>
      <c r="C27" s="10">
        <v>24712.694</v>
      </c>
      <c r="D27" s="10"/>
      <c r="E27" s="10"/>
      <c r="F27" s="10">
        <f t="shared" si="0"/>
        <v>0.2093901</v>
      </c>
      <c r="G27" s="10">
        <f t="shared" si="1"/>
        <v>2.4712694000000002</v>
      </c>
      <c r="H27" s="10"/>
      <c r="I27" s="10"/>
      <c r="J27" s="9">
        <v>76.837283333333403</v>
      </c>
      <c r="K27" s="9">
        <v>77.5</v>
      </c>
      <c r="M27" s="9">
        <f t="shared" si="2"/>
        <v>1</v>
      </c>
      <c r="N27" s="9">
        <f t="shared" si="3"/>
        <v>1</v>
      </c>
      <c r="O27" s="9">
        <f t="shared" si="4"/>
        <v>1</v>
      </c>
      <c r="P27" s="9">
        <f t="shared" si="5"/>
        <v>1</v>
      </c>
    </row>
    <row r="28" spans="1:16" x14ac:dyDescent="0.4">
      <c r="A28" s="9" t="s">
        <v>10</v>
      </c>
      <c r="B28" s="10">
        <v>2093.9009999999998</v>
      </c>
      <c r="C28" s="10">
        <v>24712.694</v>
      </c>
      <c r="D28" s="10"/>
      <c r="E28" s="10"/>
      <c r="F28" s="10">
        <f t="shared" si="0"/>
        <v>0.2093901</v>
      </c>
      <c r="G28" s="10">
        <f t="shared" si="1"/>
        <v>2.4712694000000002</v>
      </c>
      <c r="H28" s="10"/>
      <c r="I28" s="10"/>
      <c r="J28" s="9">
        <v>76.837283333333403</v>
      </c>
      <c r="K28" s="9">
        <v>78</v>
      </c>
      <c r="M28" s="9">
        <f t="shared" si="2"/>
        <v>1</v>
      </c>
      <c r="N28" s="9">
        <f t="shared" si="3"/>
        <v>1</v>
      </c>
      <c r="O28" s="9">
        <f t="shared" si="4"/>
        <v>1</v>
      </c>
      <c r="P28" s="9">
        <f t="shared" si="5"/>
        <v>1</v>
      </c>
    </row>
    <row r="29" spans="1:16" x14ac:dyDescent="0.4">
      <c r="A29" s="9" t="s">
        <v>10</v>
      </c>
      <c r="B29" s="10">
        <v>2093.9009999999998</v>
      </c>
      <c r="C29" s="10">
        <v>24712.694</v>
      </c>
      <c r="D29" s="10"/>
      <c r="E29" s="10"/>
      <c r="F29" s="10">
        <f t="shared" si="0"/>
        <v>0.2093901</v>
      </c>
      <c r="G29" s="10">
        <f t="shared" si="1"/>
        <v>2.4712694000000002</v>
      </c>
      <c r="H29" s="10"/>
      <c r="I29" s="10"/>
      <c r="J29" s="9">
        <v>76.837283333333403</v>
      </c>
      <c r="K29" s="9">
        <v>78.5</v>
      </c>
      <c r="M29" s="9">
        <f t="shared" si="2"/>
        <v>1</v>
      </c>
      <c r="N29" s="9">
        <f t="shared" si="3"/>
        <v>1</v>
      </c>
      <c r="O29" s="9">
        <f t="shared" si="4"/>
        <v>1</v>
      </c>
      <c r="P29" s="9">
        <f t="shared" si="5"/>
        <v>1</v>
      </c>
    </row>
    <row r="30" spans="1:16" x14ac:dyDescent="0.4">
      <c r="A30" s="9" t="s">
        <v>10</v>
      </c>
      <c r="B30" s="10">
        <v>2093.9009999999998</v>
      </c>
      <c r="C30" s="10">
        <v>24712.694</v>
      </c>
      <c r="D30" s="10"/>
      <c r="E30" s="10"/>
      <c r="F30" s="10">
        <f t="shared" si="0"/>
        <v>0.2093901</v>
      </c>
      <c r="G30" s="10">
        <f t="shared" si="1"/>
        <v>2.4712694000000002</v>
      </c>
      <c r="H30" s="10"/>
      <c r="I30" s="10"/>
      <c r="J30" s="9">
        <v>76.837283333333403</v>
      </c>
      <c r="K30" s="9">
        <v>79</v>
      </c>
      <c r="M30" s="9">
        <f t="shared" si="2"/>
        <v>1</v>
      </c>
      <c r="N30" s="9">
        <f t="shared" si="3"/>
        <v>1</v>
      </c>
      <c r="O30" s="9">
        <f t="shared" si="4"/>
        <v>1</v>
      </c>
      <c r="P30" s="9">
        <f t="shared" si="5"/>
        <v>1</v>
      </c>
    </row>
    <row r="31" spans="1:16" x14ac:dyDescent="0.4">
      <c r="A31" s="9" t="s">
        <v>10</v>
      </c>
      <c r="B31" s="10">
        <v>2093.9009999999998</v>
      </c>
      <c r="C31" s="10">
        <v>24712.694</v>
      </c>
      <c r="D31" s="10"/>
      <c r="E31" s="10"/>
      <c r="F31" s="10">
        <f t="shared" si="0"/>
        <v>0.2093901</v>
      </c>
      <c r="G31" s="10">
        <f t="shared" si="1"/>
        <v>2.4712694000000002</v>
      </c>
      <c r="H31" s="10"/>
      <c r="I31" s="10"/>
      <c r="J31" s="9">
        <v>76.837283333333403</v>
      </c>
      <c r="K31" s="9">
        <v>79.5</v>
      </c>
      <c r="M31" s="9">
        <f t="shared" si="2"/>
        <v>1</v>
      </c>
      <c r="N31" s="9">
        <f t="shared" si="3"/>
        <v>1</v>
      </c>
      <c r="O31" s="9">
        <f t="shared" si="4"/>
        <v>1</v>
      </c>
      <c r="P31" s="9">
        <f t="shared" si="5"/>
        <v>1</v>
      </c>
    </row>
    <row r="32" spans="1:16" x14ac:dyDescent="0.4">
      <c r="A32" s="9" t="s">
        <v>10</v>
      </c>
      <c r="B32" s="10">
        <v>2093.9009999999998</v>
      </c>
      <c r="C32" s="10">
        <v>24712.694</v>
      </c>
      <c r="D32" s="10"/>
      <c r="E32" s="10"/>
      <c r="F32" s="10">
        <f t="shared" si="0"/>
        <v>0.2093901</v>
      </c>
      <c r="G32" s="10">
        <f t="shared" si="1"/>
        <v>2.4712694000000002</v>
      </c>
      <c r="H32" s="10"/>
      <c r="I32" s="10"/>
      <c r="J32" s="9">
        <v>76.837283333333403</v>
      </c>
      <c r="K32" s="9">
        <v>80</v>
      </c>
      <c r="M32" s="9">
        <f t="shared" si="2"/>
        <v>1</v>
      </c>
      <c r="N32" s="9">
        <f t="shared" si="3"/>
        <v>1</v>
      </c>
      <c r="O32" s="9">
        <f t="shared" si="4"/>
        <v>1</v>
      </c>
      <c r="P32" s="9">
        <f t="shared" si="5"/>
        <v>1</v>
      </c>
    </row>
    <row r="33" spans="1:16" x14ac:dyDescent="0.4">
      <c r="A33" s="9" t="s">
        <v>10</v>
      </c>
      <c r="B33" s="10">
        <v>2093.9009999999998</v>
      </c>
      <c r="C33" s="10">
        <v>24712.694</v>
      </c>
      <c r="D33" s="10"/>
      <c r="E33" s="10"/>
      <c r="F33" s="10">
        <f t="shared" si="0"/>
        <v>0.2093901</v>
      </c>
      <c r="G33" s="10">
        <f t="shared" si="1"/>
        <v>2.4712694000000002</v>
      </c>
      <c r="H33" s="10"/>
      <c r="I33" s="10"/>
      <c r="J33" s="9">
        <v>76.837283333333403</v>
      </c>
      <c r="K33" s="9">
        <v>80.5</v>
      </c>
      <c r="M33" s="9">
        <f t="shared" si="2"/>
        <v>1</v>
      </c>
      <c r="N33" s="9">
        <f t="shared" si="3"/>
        <v>1</v>
      </c>
      <c r="O33" s="9">
        <f t="shared" si="4"/>
        <v>1</v>
      </c>
      <c r="P33" s="9">
        <f t="shared" si="5"/>
        <v>1</v>
      </c>
    </row>
    <row r="34" spans="1:16" x14ac:dyDescent="0.4">
      <c r="A34" s="9" t="s">
        <v>10</v>
      </c>
      <c r="B34" s="10">
        <v>2093.9009999999998</v>
      </c>
      <c r="C34" s="10">
        <v>24712.694</v>
      </c>
      <c r="D34" s="10"/>
      <c r="E34" s="10"/>
      <c r="F34" s="10">
        <f t="shared" si="0"/>
        <v>0.2093901</v>
      </c>
      <c r="G34" s="10">
        <f t="shared" si="1"/>
        <v>2.4712694000000002</v>
      </c>
      <c r="H34" s="10"/>
      <c r="I34" s="10"/>
      <c r="J34" s="9">
        <v>76.837283333333403</v>
      </c>
      <c r="K34" s="9">
        <v>81</v>
      </c>
      <c r="M34" s="9">
        <f t="shared" si="2"/>
        <v>1</v>
      </c>
      <c r="N34" s="9">
        <f t="shared" si="3"/>
        <v>1</v>
      </c>
      <c r="O34" s="9">
        <f t="shared" si="4"/>
        <v>1</v>
      </c>
      <c r="P34" s="9">
        <f t="shared" si="5"/>
        <v>1</v>
      </c>
    </row>
    <row r="35" spans="1:16" x14ac:dyDescent="0.4">
      <c r="A35" s="9" t="s">
        <v>10</v>
      </c>
      <c r="B35" s="10">
        <v>2093.9009999999998</v>
      </c>
      <c r="C35" s="10">
        <v>24712.694</v>
      </c>
      <c r="D35" s="10"/>
      <c r="E35" s="10"/>
      <c r="F35" s="10">
        <f t="shared" si="0"/>
        <v>0.2093901</v>
      </c>
      <c r="G35" s="10">
        <f t="shared" si="1"/>
        <v>2.4712694000000002</v>
      </c>
      <c r="H35" s="10"/>
      <c r="I35" s="10"/>
      <c r="J35" s="9">
        <v>76.837283333333403</v>
      </c>
      <c r="K35" s="9">
        <v>81.5</v>
      </c>
      <c r="M35" s="9">
        <f t="shared" si="2"/>
        <v>1</v>
      </c>
      <c r="N35" s="9">
        <f t="shared" si="3"/>
        <v>1</v>
      </c>
      <c r="O35" s="9">
        <f t="shared" si="4"/>
        <v>1</v>
      </c>
      <c r="P35" s="9">
        <f t="shared" si="5"/>
        <v>1</v>
      </c>
    </row>
    <row r="36" spans="1:16" x14ac:dyDescent="0.4">
      <c r="A36" s="9" t="s">
        <v>10</v>
      </c>
      <c r="B36" s="10">
        <v>3932.1120000000001</v>
      </c>
      <c r="C36" s="10">
        <v>25938.758000000002</v>
      </c>
      <c r="D36" s="10"/>
      <c r="E36" s="10"/>
      <c r="F36" s="10">
        <f t="shared" si="0"/>
        <v>0.39321119999999998</v>
      </c>
      <c r="G36" s="10">
        <f t="shared" si="1"/>
        <v>2.5938758000000002</v>
      </c>
      <c r="H36" s="10"/>
      <c r="I36" s="10"/>
      <c r="J36" s="9">
        <v>80.83753333333334</v>
      </c>
      <c r="K36" s="9">
        <v>82</v>
      </c>
      <c r="M36" s="9">
        <f t="shared" si="2"/>
        <v>1</v>
      </c>
      <c r="N36" s="9">
        <f t="shared" si="3"/>
        <v>1</v>
      </c>
      <c r="O36" s="9">
        <f t="shared" si="4"/>
        <v>1</v>
      </c>
      <c r="P36" s="9">
        <f t="shared" si="5"/>
        <v>1</v>
      </c>
    </row>
    <row r="37" spans="1:16" x14ac:dyDescent="0.4">
      <c r="A37" s="9" t="s">
        <v>10</v>
      </c>
      <c r="B37" s="10">
        <v>1979.7449999999999</v>
      </c>
      <c r="C37" s="10">
        <v>24297.741999999998</v>
      </c>
      <c r="D37" s="10"/>
      <c r="E37" s="10"/>
      <c r="F37" s="10">
        <f t="shared" si="0"/>
        <v>0.1979745</v>
      </c>
      <c r="G37" s="10">
        <f t="shared" si="1"/>
        <v>2.4297741999999998</v>
      </c>
      <c r="H37" s="10"/>
      <c r="I37" s="10"/>
      <c r="J37" s="9">
        <v>80.83753333333334</v>
      </c>
      <c r="K37" s="9">
        <v>82.5</v>
      </c>
      <c r="M37" s="9">
        <f t="shared" si="2"/>
        <v>1</v>
      </c>
      <c r="N37" s="9">
        <f t="shared" si="3"/>
        <v>1</v>
      </c>
      <c r="O37" s="9">
        <f t="shared" si="4"/>
        <v>1</v>
      </c>
      <c r="P37" s="9">
        <f t="shared" si="5"/>
        <v>1</v>
      </c>
    </row>
    <row r="38" spans="1:16" x14ac:dyDescent="0.4">
      <c r="A38" s="9" t="s">
        <v>10</v>
      </c>
      <c r="B38" s="10">
        <v>3932.1120000000001</v>
      </c>
      <c r="C38" s="10">
        <v>25938.758000000002</v>
      </c>
      <c r="D38" s="10"/>
      <c r="E38" s="10"/>
      <c r="F38" s="10">
        <f t="shared" si="0"/>
        <v>0.39321119999999998</v>
      </c>
      <c r="G38" s="10">
        <f t="shared" si="1"/>
        <v>2.5938758000000002</v>
      </c>
      <c r="H38" s="10"/>
      <c r="I38" s="10"/>
      <c r="J38" s="9">
        <v>81.337600000000066</v>
      </c>
      <c r="K38" s="9">
        <v>83</v>
      </c>
      <c r="M38" s="9">
        <f t="shared" si="2"/>
        <v>1</v>
      </c>
      <c r="N38" s="9">
        <f t="shared" si="3"/>
        <v>1</v>
      </c>
      <c r="O38" s="9">
        <f t="shared" si="4"/>
        <v>1</v>
      </c>
      <c r="P38" s="9">
        <f t="shared" si="5"/>
        <v>1</v>
      </c>
    </row>
    <row r="39" spans="1:16" x14ac:dyDescent="0.4">
      <c r="A39" s="9" t="s">
        <v>10</v>
      </c>
      <c r="B39" s="10">
        <v>20083.466</v>
      </c>
      <c r="C39" s="10">
        <v>22545.776000000002</v>
      </c>
      <c r="D39" s="10"/>
      <c r="E39" s="10"/>
      <c r="F39" s="10">
        <f t="shared" si="0"/>
        <v>2.0083465999999999</v>
      </c>
      <c r="G39" s="10">
        <f t="shared" si="1"/>
        <v>2.2545776000000002</v>
      </c>
      <c r="H39" s="10"/>
      <c r="I39" s="10"/>
      <c r="J39" s="9">
        <v>83.337733333333404</v>
      </c>
      <c r="K39" s="9">
        <v>83.5</v>
      </c>
      <c r="M39" s="9">
        <f t="shared" si="2"/>
        <v>1</v>
      </c>
      <c r="N39" s="9">
        <f t="shared" si="3"/>
        <v>1</v>
      </c>
      <c r="O39" s="9">
        <f t="shared" si="4"/>
        <v>1</v>
      </c>
      <c r="P39" s="9">
        <f t="shared" si="5"/>
        <v>1</v>
      </c>
    </row>
    <row r="40" spans="1:16" x14ac:dyDescent="0.4">
      <c r="A40" s="9" t="s">
        <v>10</v>
      </c>
      <c r="B40" s="10">
        <v>3929.8139999999999</v>
      </c>
      <c r="C40" s="10">
        <v>25932.545999999998</v>
      </c>
      <c r="D40" s="10"/>
      <c r="E40" s="10"/>
      <c r="F40" s="10">
        <f t="shared" si="0"/>
        <v>0.39298139999999998</v>
      </c>
      <c r="G40" s="10">
        <f t="shared" si="1"/>
        <v>2.5932545999999999</v>
      </c>
      <c r="H40" s="10"/>
      <c r="I40" s="10"/>
      <c r="J40" s="9">
        <v>83.504400000000032</v>
      </c>
      <c r="K40" s="9">
        <v>84</v>
      </c>
      <c r="M40" s="9">
        <f t="shared" si="2"/>
        <v>1</v>
      </c>
      <c r="N40" s="9">
        <f t="shared" si="3"/>
        <v>1</v>
      </c>
      <c r="O40" s="9">
        <f t="shared" si="4"/>
        <v>1</v>
      </c>
      <c r="P40" s="9">
        <f t="shared" si="5"/>
        <v>1</v>
      </c>
    </row>
    <row r="41" spans="1:16" x14ac:dyDescent="0.4">
      <c r="A41" s="9" t="s">
        <v>10</v>
      </c>
      <c r="B41" s="10">
        <v>3929.6990000000001</v>
      </c>
      <c r="C41" s="10">
        <v>25931.046999999999</v>
      </c>
      <c r="D41" s="10"/>
      <c r="E41" s="10"/>
      <c r="F41" s="10">
        <f t="shared" si="0"/>
        <v>0.39296989999999998</v>
      </c>
      <c r="G41" s="10">
        <f t="shared" si="1"/>
        <v>2.5931047</v>
      </c>
      <c r="H41" s="10"/>
      <c r="I41" s="10"/>
      <c r="J41" s="9">
        <v>84.837883333333366</v>
      </c>
      <c r="K41" s="9">
        <v>85</v>
      </c>
      <c r="M41" s="9">
        <f t="shared" si="2"/>
        <v>1</v>
      </c>
      <c r="N41" s="9">
        <f t="shared" si="3"/>
        <v>1</v>
      </c>
      <c r="O41" s="9">
        <f t="shared" si="4"/>
        <v>1</v>
      </c>
      <c r="P41" s="9">
        <f t="shared" si="5"/>
        <v>1</v>
      </c>
    </row>
    <row r="42" spans="1:16" x14ac:dyDescent="0.4">
      <c r="A42" s="9" t="s">
        <v>12</v>
      </c>
      <c r="B42" s="11">
        <v>3771.529</v>
      </c>
      <c r="D42" s="10"/>
      <c r="E42" s="10">
        <v>26591.080999999998</v>
      </c>
      <c r="F42" s="10">
        <f t="shared" si="0"/>
        <v>0.37715290000000001</v>
      </c>
      <c r="G42" s="10"/>
      <c r="H42" s="10"/>
      <c r="I42" s="10">
        <f>IF(E42&lt;&gt;0,E42*P42/10000)</f>
        <v>2.6591080999999996</v>
      </c>
      <c r="J42" s="9">
        <v>85.171266666666611</v>
      </c>
      <c r="K42" s="9">
        <v>85.5</v>
      </c>
      <c r="M42" s="9">
        <f t="shared" si="2"/>
        <v>1</v>
      </c>
      <c r="N42" s="9">
        <f t="shared" si="3"/>
        <v>1</v>
      </c>
      <c r="O42" s="9">
        <f t="shared" si="4"/>
        <v>1</v>
      </c>
      <c r="P42" s="9">
        <f t="shared" si="5"/>
        <v>1</v>
      </c>
    </row>
    <row r="43" spans="1:16" x14ac:dyDescent="0.4">
      <c r="A43" s="9" t="s">
        <v>10</v>
      </c>
      <c r="B43" s="10">
        <v>29259.188999999998</v>
      </c>
      <c r="C43" s="10">
        <v>34107.309000000001</v>
      </c>
      <c r="D43" s="10"/>
      <c r="E43" s="10"/>
      <c r="F43" s="10">
        <f t="shared" si="0"/>
        <v>2.9259188999999997</v>
      </c>
      <c r="G43" s="10">
        <f t="shared" si="1"/>
        <v>3.4107308999999999</v>
      </c>
      <c r="H43" s="10"/>
      <c r="I43" s="10"/>
      <c r="J43" s="9">
        <v>85.504599999999982</v>
      </c>
      <c r="K43" s="9">
        <v>86</v>
      </c>
      <c r="M43" s="9">
        <f t="shared" si="2"/>
        <v>1</v>
      </c>
      <c r="N43" s="9">
        <f t="shared" si="3"/>
        <v>1</v>
      </c>
      <c r="O43" s="9">
        <f t="shared" si="4"/>
        <v>1</v>
      </c>
      <c r="P43" s="9">
        <f t="shared" si="5"/>
        <v>1</v>
      </c>
    </row>
    <row r="44" spans="1:16" x14ac:dyDescent="0.4">
      <c r="A44" s="9" t="s">
        <v>10</v>
      </c>
      <c r="B44" s="10">
        <v>3928.8159999999998</v>
      </c>
      <c r="C44" s="10">
        <v>25932.327000000001</v>
      </c>
      <c r="D44" s="10"/>
      <c r="E44" s="10"/>
      <c r="F44" s="10">
        <f t="shared" si="0"/>
        <v>0.3928816</v>
      </c>
      <c r="G44" s="10">
        <f t="shared" si="1"/>
        <v>2.5932327000000002</v>
      </c>
      <c r="H44" s="10"/>
      <c r="I44" s="10"/>
      <c r="J44" s="9">
        <v>86.504683333333332</v>
      </c>
      <c r="K44" s="9">
        <v>87</v>
      </c>
      <c r="M44" s="9">
        <f t="shared" si="2"/>
        <v>1</v>
      </c>
      <c r="N44" s="9">
        <f t="shared" si="3"/>
        <v>1</v>
      </c>
      <c r="O44" s="9">
        <f t="shared" si="4"/>
        <v>1</v>
      </c>
      <c r="P44" s="9">
        <f t="shared" si="5"/>
        <v>1</v>
      </c>
    </row>
    <row r="45" spans="1:16" x14ac:dyDescent="0.4">
      <c r="A45" s="9" t="s">
        <v>10</v>
      </c>
      <c r="B45" s="10">
        <v>2093.9009999999998</v>
      </c>
      <c r="C45" s="10">
        <v>24712.694</v>
      </c>
      <c r="D45" s="10"/>
      <c r="E45" s="10"/>
      <c r="F45" s="10">
        <f t="shared" si="0"/>
        <v>0.2093901</v>
      </c>
      <c r="G45" s="10">
        <f t="shared" si="1"/>
        <v>2.4712694000000002</v>
      </c>
      <c r="H45" s="10"/>
      <c r="I45" s="10"/>
      <c r="J45" s="9">
        <v>90.838216666666654</v>
      </c>
      <c r="K45" s="9">
        <v>91</v>
      </c>
      <c r="M45" s="9">
        <f t="shared" si="2"/>
        <v>1</v>
      </c>
      <c r="N45" s="9">
        <f t="shared" si="3"/>
        <v>1</v>
      </c>
      <c r="O45" s="9">
        <f t="shared" si="4"/>
        <v>1</v>
      </c>
      <c r="P45" s="9">
        <f t="shared" si="5"/>
        <v>1</v>
      </c>
    </row>
    <row r="46" spans="1:16" x14ac:dyDescent="0.4">
      <c r="A46" s="9" t="s">
        <v>10</v>
      </c>
      <c r="B46" s="10">
        <v>2227.6390000000001</v>
      </c>
      <c r="C46" s="10">
        <v>24537.973000000002</v>
      </c>
      <c r="D46" s="10"/>
      <c r="E46" s="10"/>
      <c r="F46" s="10">
        <f t="shared" si="0"/>
        <v>0.22276390000000001</v>
      </c>
      <c r="G46" s="10">
        <f t="shared" si="1"/>
        <v>2.4537973000000002</v>
      </c>
      <c r="H46" s="10"/>
      <c r="I46" s="10"/>
      <c r="J46" s="9">
        <v>91.004883333333282</v>
      </c>
      <c r="K46" s="9">
        <v>91.5</v>
      </c>
      <c r="M46" s="9">
        <f t="shared" si="2"/>
        <v>1</v>
      </c>
      <c r="N46" s="9">
        <f t="shared" si="3"/>
        <v>1</v>
      </c>
      <c r="O46" s="9">
        <f t="shared" si="4"/>
        <v>1</v>
      </c>
      <c r="P46" s="9">
        <f t="shared" si="5"/>
        <v>1</v>
      </c>
    </row>
    <row r="47" spans="1:16" x14ac:dyDescent="0.4">
      <c r="A47" s="9" t="s">
        <v>10</v>
      </c>
      <c r="B47" s="10">
        <v>1665.0840000000001</v>
      </c>
      <c r="C47" s="10">
        <v>24265.478999999999</v>
      </c>
      <c r="D47" s="10"/>
      <c r="E47" s="10"/>
      <c r="F47" s="10">
        <f t="shared" si="0"/>
        <v>0.1665084</v>
      </c>
      <c r="G47" s="10">
        <f t="shared" si="1"/>
        <v>2.4265479000000001</v>
      </c>
      <c r="H47" s="10"/>
      <c r="I47" s="10"/>
      <c r="J47" s="9">
        <v>91.504933333333383</v>
      </c>
      <c r="K47" s="9">
        <v>92</v>
      </c>
      <c r="M47" s="9">
        <f t="shared" si="2"/>
        <v>1</v>
      </c>
      <c r="N47" s="9">
        <f t="shared" si="3"/>
        <v>1</v>
      </c>
      <c r="O47" s="9">
        <f t="shared" si="4"/>
        <v>1</v>
      </c>
      <c r="P47" s="9">
        <f t="shared" si="5"/>
        <v>1</v>
      </c>
    </row>
    <row r="48" spans="1:16" x14ac:dyDescent="0.4">
      <c r="A48" s="9" t="s">
        <v>10</v>
      </c>
      <c r="B48" s="10">
        <v>1671.4860000000001</v>
      </c>
      <c r="C48" s="10">
        <v>24264.999</v>
      </c>
      <c r="D48" s="10"/>
      <c r="E48" s="10"/>
      <c r="F48" s="10">
        <f t="shared" si="0"/>
        <v>0.16714860000000001</v>
      </c>
      <c r="G48" s="10">
        <f t="shared" si="1"/>
        <v>2.4264999</v>
      </c>
      <c r="H48" s="10"/>
      <c r="I48" s="10"/>
      <c r="J48" s="9">
        <v>91.671550000000025</v>
      </c>
      <c r="K48" s="9">
        <v>92.5</v>
      </c>
      <c r="M48" s="9">
        <f t="shared" si="2"/>
        <v>1</v>
      </c>
      <c r="N48" s="9">
        <f t="shared" si="3"/>
        <v>1</v>
      </c>
      <c r="O48" s="9">
        <f t="shared" si="4"/>
        <v>1</v>
      </c>
      <c r="P48" s="9">
        <f t="shared" si="5"/>
        <v>1</v>
      </c>
    </row>
    <row r="49" spans="1:16" x14ac:dyDescent="0.4">
      <c r="A49" s="9" t="s">
        <v>10</v>
      </c>
      <c r="B49" s="10">
        <v>2227.6390000000001</v>
      </c>
      <c r="C49" s="10">
        <v>24537.973000000002</v>
      </c>
      <c r="D49" s="10"/>
      <c r="E49" s="10"/>
      <c r="F49" s="10">
        <f t="shared" si="0"/>
        <v>0.22276390000000001</v>
      </c>
      <c r="G49" s="10">
        <f t="shared" si="1"/>
        <v>2.4537973000000002</v>
      </c>
      <c r="H49" s="10"/>
      <c r="I49" s="10"/>
      <c r="J49" s="9">
        <v>92.171600000000012</v>
      </c>
      <c r="K49" s="9">
        <v>93</v>
      </c>
      <c r="M49" s="9">
        <f t="shared" si="2"/>
        <v>1</v>
      </c>
      <c r="N49" s="9">
        <f t="shared" si="3"/>
        <v>1</v>
      </c>
      <c r="O49" s="9">
        <f t="shared" si="4"/>
        <v>1</v>
      </c>
      <c r="P49" s="9">
        <f t="shared" si="5"/>
        <v>1</v>
      </c>
    </row>
    <row r="50" spans="1:16" x14ac:dyDescent="0.4">
      <c r="A50" s="9" t="s">
        <v>10</v>
      </c>
      <c r="B50" s="10">
        <v>1670.3440000000001</v>
      </c>
      <c r="C50" s="10">
        <v>24262.159</v>
      </c>
      <c r="D50" s="10"/>
      <c r="E50" s="10"/>
      <c r="F50" s="10">
        <f t="shared" si="0"/>
        <v>0.1670344</v>
      </c>
      <c r="G50" s="10">
        <f t="shared" si="1"/>
        <v>2.4262158999999999</v>
      </c>
      <c r="H50" s="10"/>
      <c r="I50" s="10"/>
      <c r="J50" s="9">
        <v>92.838266666666755</v>
      </c>
      <c r="K50" s="9">
        <v>93.5</v>
      </c>
      <c r="M50" s="9">
        <f t="shared" si="2"/>
        <v>1</v>
      </c>
      <c r="N50" s="9">
        <f t="shared" si="3"/>
        <v>1</v>
      </c>
      <c r="O50" s="9">
        <f t="shared" si="4"/>
        <v>1</v>
      </c>
      <c r="P50" s="9">
        <f t="shared" si="5"/>
        <v>1</v>
      </c>
    </row>
    <row r="51" spans="1:16" x14ac:dyDescent="0.4">
      <c r="A51" s="9" t="s">
        <v>10</v>
      </c>
      <c r="B51" s="10">
        <v>4753.3130000000001</v>
      </c>
      <c r="C51" s="10">
        <v>24856.972000000002</v>
      </c>
      <c r="D51" s="10"/>
      <c r="E51" s="10"/>
      <c r="F51" s="10">
        <f t="shared" si="0"/>
        <v>0.47533130000000001</v>
      </c>
      <c r="G51" s="10">
        <f t="shared" si="1"/>
        <v>2.4856972000000002</v>
      </c>
      <c r="H51" s="10"/>
      <c r="I51" s="10"/>
      <c r="J51" s="9">
        <v>95.505133333333447</v>
      </c>
      <c r="K51" s="9">
        <v>96</v>
      </c>
      <c r="M51" s="9">
        <f t="shared" si="2"/>
        <v>1</v>
      </c>
      <c r="N51" s="9">
        <f t="shared" si="3"/>
        <v>1</v>
      </c>
      <c r="O51" s="9">
        <f t="shared" si="4"/>
        <v>1</v>
      </c>
      <c r="P51" s="9">
        <f t="shared" si="5"/>
        <v>1</v>
      </c>
    </row>
    <row r="52" spans="1:16" x14ac:dyDescent="0.4">
      <c r="A52" s="9" t="s">
        <v>10</v>
      </c>
      <c r="B52" s="10">
        <v>30248.523000000001</v>
      </c>
      <c r="C52" s="10">
        <v>33969.737000000001</v>
      </c>
      <c r="D52" s="10"/>
      <c r="E52" s="10"/>
      <c r="F52" s="10">
        <f t="shared" si="0"/>
        <v>3.0248523</v>
      </c>
      <c r="G52" s="10">
        <f t="shared" si="1"/>
        <v>3.3969737000000002</v>
      </c>
      <c r="H52" s="10"/>
      <c r="I52" s="10"/>
      <c r="J52" s="9">
        <v>96.505216666666684</v>
      </c>
      <c r="K52" s="9">
        <v>97</v>
      </c>
      <c r="M52" s="9">
        <f t="shared" si="2"/>
        <v>1</v>
      </c>
      <c r="N52" s="9">
        <f t="shared" si="3"/>
        <v>1</v>
      </c>
      <c r="O52" s="9">
        <f t="shared" si="4"/>
        <v>1</v>
      </c>
      <c r="P52" s="9">
        <f t="shared" si="5"/>
        <v>1</v>
      </c>
    </row>
    <row r="53" spans="1:16" x14ac:dyDescent="0.4">
      <c r="A53" s="9" t="s">
        <v>10</v>
      </c>
      <c r="B53" s="10">
        <v>6416.1760000000004</v>
      </c>
      <c r="C53" s="10">
        <v>24886.081999999999</v>
      </c>
      <c r="D53" s="10"/>
      <c r="E53" s="10"/>
      <c r="F53" s="10">
        <f t="shared" si="0"/>
        <v>0.64161760000000001</v>
      </c>
      <c r="G53" s="10">
        <f t="shared" si="1"/>
        <v>2.4886081999999998</v>
      </c>
      <c r="H53" s="10"/>
      <c r="I53" s="10"/>
      <c r="J53" s="9">
        <v>98.505266666666671</v>
      </c>
      <c r="K53" s="9">
        <v>99</v>
      </c>
      <c r="M53" s="9">
        <f t="shared" si="2"/>
        <v>1</v>
      </c>
      <c r="N53" s="9">
        <f t="shared" si="3"/>
        <v>1</v>
      </c>
      <c r="O53" s="9">
        <f t="shared" si="4"/>
        <v>1</v>
      </c>
      <c r="P53" s="9">
        <f t="shared" si="5"/>
        <v>1</v>
      </c>
    </row>
    <row r="54" spans="1:16" x14ac:dyDescent="0.4">
      <c r="A54" s="9" t="s">
        <v>11</v>
      </c>
      <c r="B54" s="11">
        <v>7117.5820000000003</v>
      </c>
      <c r="C54" s="10"/>
      <c r="D54" s="10">
        <v>24773.171999999999</v>
      </c>
      <c r="E54" s="10"/>
      <c r="F54" s="10">
        <f t="shared" si="0"/>
        <v>0.71175820000000001</v>
      </c>
      <c r="G54" s="10"/>
      <c r="H54" s="10">
        <f>IF(D54&lt;&gt;0,D54*O54/10000)</f>
        <v>2.4773171999999999</v>
      </c>
      <c r="I54" s="10"/>
      <c r="J54" s="9">
        <v>101.36088333333328</v>
      </c>
      <c r="K54" s="9">
        <v>101.5</v>
      </c>
      <c r="M54" s="9">
        <f t="shared" si="2"/>
        <v>1</v>
      </c>
      <c r="N54" s="9">
        <f t="shared" si="3"/>
        <v>1</v>
      </c>
      <c r="O54" s="9">
        <f t="shared" si="4"/>
        <v>1</v>
      </c>
      <c r="P54" s="9">
        <f t="shared" si="5"/>
        <v>1</v>
      </c>
    </row>
    <row r="55" spans="1:16" x14ac:dyDescent="0.4">
      <c r="A55" s="9" t="s">
        <v>10</v>
      </c>
      <c r="B55" s="10">
        <v>1637.625</v>
      </c>
      <c r="C55" s="10">
        <v>24604.965</v>
      </c>
      <c r="D55" s="10"/>
      <c r="E55" s="10"/>
      <c r="F55" s="10">
        <f t="shared" si="0"/>
        <v>0.16376250000000001</v>
      </c>
      <c r="G55" s="10">
        <f t="shared" si="1"/>
        <v>2.4604965000000001</v>
      </c>
      <c r="H55" s="10"/>
      <c r="I55" s="10"/>
      <c r="J55" s="9">
        <v>107.50575000000003</v>
      </c>
      <c r="K55" s="9">
        <v>108</v>
      </c>
      <c r="M55" s="9">
        <f t="shared" si="2"/>
        <v>1</v>
      </c>
      <c r="N55" s="9">
        <f t="shared" si="3"/>
        <v>1</v>
      </c>
      <c r="O55" s="9">
        <f t="shared" si="4"/>
        <v>1</v>
      </c>
      <c r="P55" s="9">
        <f t="shared" si="5"/>
        <v>1</v>
      </c>
    </row>
    <row r="56" spans="1:16" x14ac:dyDescent="0.4">
      <c r="A56" s="9" t="s">
        <v>11</v>
      </c>
      <c r="B56" s="11">
        <v>3375.6930000000002</v>
      </c>
      <c r="C56" s="10"/>
      <c r="D56" s="10">
        <v>26664.105</v>
      </c>
      <c r="E56" s="10"/>
      <c r="F56" s="10">
        <f t="shared" si="0"/>
        <v>0.33756930000000002</v>
      </c>
      <c r="G56" s="10"/>
      <c r="H56" s="10">
        <f>IF(D56&lt;&gt;0,D56*O56/10000)</f>
        <v>2.6664105</v>
      </c>
      <c r="I56" s="10"/>
      <c r="J56" s="9">
        <v>112.60275000000001</v>
      </c>
      <c r="K56" s="9">
        <v>113</v>
      </c>
      <c r="M56" s="9">
        <f t="shared" si="2"/>
        <v>1</v>
      </c>
      <c r="N56" s="9">
        <f t="shared" si="3"/>
        <v>1</v>
      </c>
      <c r="O56" s="9">
        <f t="shared" si="4"/>
        <v>1</v>
      </c>
      <c r="P56" s="9">
        <f t="shared" si="5"/>
        <v>1</v>
      </c>
    </row>
    <row r="57" spans="1:16" x14ac:dyDescent="0.4">
      <c r="A57" s="9" t="s">
        <v>12</v>
      </c>
      <c r="B57" s="11">
        <v>3731.8649999999998</v>
      </c>
      <c r="D57" s="10"/>
      <c r="E57" s="10">
        <v>26501.899000000001</v>
      </c>
      <c r="F57" s="10">
        <f t="shared" si="0"/>
        <v>0.37318649999999998</v>
      </c>
      <c r="G57" s="10"/>
      <c r="H57" s="10"/>
      <c r="I57" s="10">
        <f>IF(E57&lt;&gt;0,E57*P57/10000)</f>
        <v>2.6501899</v>
      </c>
      <c r="J57" s="9">
        <v>114.17286666666678</v>
      </c>
      <c r="K57" s="9">
        <v>114.5</v>
      </c>
      <c r="M57" s="9">
        <f t="shared" si="2"/>
        <v>1</v>
      </c>
      <c r="N57" s="9">
        <f t="shared" si="3"/>
        <v>1</v>
      </c>
      <c r="O57" s="9">
        <f t="shared" si="4"/>
        <v>1</v>
      </c>
      <c r="P57" s="9">
        <f t="shared" si="5"/>
        <v>1</v>
      </c>
    </row>
    <row r="58" spans="1:16" x14ac:dyDescent="0.4">
      <c r="A58" s="9" t="s">
        <v>10</v>
      </c>
      <c r="B58" s="10">
        <v>1823.3389999999999</v>
      </c>
      <c r="C58" s="10">
        <v>24257.191999999999</v>
      </c>
      <c r="D58" s="10"/>
      <c r="E58" s="10"/>
      <c r="F58" s="10">
        <f t="shared" si="0"/>
        <v>0.18233389999999999</v>
      </c>
      <c r="G58" s="10">
        <f t="shared" si="1"/>
        <v>2.4257192000000001</v>
      </c>
      <c r="H58" s="10"/>
      <c r="I58" s="10"/>
      <c r="J58" s="9">
        <v>114.50620000000004</v>
      </c>
      <c r="K58" s="9">
        <v>115</v>
      </c>
      <c r="M58" s="9">
        <f t="shared" si="2"/>
        <v>1</v>
      </c>
      <c r="N58" s="9">
        <f t="shared" si="3"/>
        <v>1</v>
      </c>
      <c r="O58" s="9">
        <f t="shared" si="4"/>
        <v>1</v>
      </c>
      <c r="P58" s="9">
        <f t="shared" si="5"/>
        <v>1</v>
      </c>
    </row>
    <row r="59" spans="1:16" x14ac:dyDescent="0.4">
      <c r="A59" s="9" t="s">
        <v>12</v>
      </c>
      <c r="B59" s="11">
        <v>3784.4589999999998</v>
      </c>
      <c r="D59" s="10"/>
      <c r="E59" s="10">
        <v>26494.285</v>
      </c>
      <c r="F59" s="10">
        <f t="shared" si="0"/>
        <v>0.3784459</v>
      </c>
      <c r="G59" s="10"/>
      <c r="H59" s="10"/>
      <c r="I59" s="10">
        <f>IF(E59&lt;&gt;0,E59*P59/10000)</f>
        <v>2.6494285</v>
      </c>
      <c r="J59" s="9">
        <v>114.67286666666678</v>
      </c>
      <c r="K59" s="9">
        <v>115.5</v>
      </c>
      <c r="M59" s="9">
        <f t="shared" si="2"/>
        <v>1</v>
      </c>
      <c r="N59" s="9">
        <f t="shared" si="3"/>
        <v>1</v>
      </c>
      <c r="O59" s="9">
        <f t="shared" si="4"/>
        <v>1</v>
      </c>
      <c r="P59" s="9">
        <f t="shared" si="5"/>
        <v>1</v>
      </c>
    </row>
    <row r="60" spans="1:16" x14ac:dyDescent="0.4">
      <c r="A60" s="9" t="s">
        <v>12</v>
      </c>
      <c r="B60" s="11">
        <v>3719.279</v>
      </c>
      <c r="D60" s="10"/>
      <c r="E60" s="10">
        <v>26577.987000000001</v>
      </c>
      <c r="F60" s="10">
        <f t="shared" si="0"/>
        <v>0.37192789999999998</v>
      </c>
      <c r="G60" s="10"/>
      <c r="H60" s="10"/>
      <c r="I60" s="10">
        <f>IF(E60&lt;&gt;0,E60*P60/10000)</f>
        <v>2.6577987000000003</v>
      </c>
      <c r="J60" s="9">
        <v>114.83953333333341</v>
      </c>
      <c r="K60" s="9">
        <v>116</v>
      </c>
      <c r="M60" s="9">
        <f t="shared" si="2"/>
        <v>1</v>
      </c>
      <c r="N60" s="9">
        <f t="shared" si="3"/>
        <v>1</v>
      </c>
      <c r="O60" s="9">
        <f t="shared" si="4"/>
        <v>1</v>
      </c>
      <c r="P60" s="9">
        <f t="shared" si="5"/>
        <v>1</v>
      </c>
    </row>
    <row r="61" spans="1:16" x14ac:dyDescent="0.4">
      <c r="A61" s="9" t="s">
        <v>12</v>
      </c>
      <c r="B61" s="11">
        <v>3715.3330000000001</v>
      </c>
      <c r="D61" s="10"/>
      <c r="E61" s="10">
        <v>26583.125</v>
      </c>
      <c r="F61" s="10">
        <f t="shared" si="0"/>
        <v>0.37153330000000001</v>
      </c>
      <c r="G61" s="10"/>
      <c r="H61" s="10"/>
      <c r="I61" s="10">
        <f>IF(E61&lt;&gt;0,E61*P61/10000)</f>
        <v>2.6583125000000001</v>
      </c>
      <c r="J61" s="9">
        <v>114.83953333333341</v>
      </c>
      <c r="K61" s="9">
        <v>116.5</v>
      </c>
      <c r="M61" s="9">
        <f t="shared" si="2"/>
        <v>1</v>
      </c>
      <c r="N61" s="9">
        <f t="shared" si="3"/>
        <v>1</v>
      </c>
      <c r="O61" s="9">
        <f t="shared" si="4"/>
        <v>1</v>
      </c>
      <c r="P61" s="9">
        <f t="shared" si="5"/>
        <v>1</v>
      </c>
    </row>
    <row r="62" spans="1:16" x14ac:dyDescent="0.4">
      <c r="A62" s="9" t="s">
        <v>10</v>
      </c>
      <c r="B62" s="10">
        <v>20083.466</v>
      </c>
      <c r="C62" s="10">
        <v>22545.776000000002</v>
      </c>
      <c r="D62" s="10"/>
      <c r="E62" s="10"/>
      <c r="F62" s="10">
        <f t="shared" si="0"/>
        <v>2.0083465999999999</v>
      </c>
      <c r="G62" s="10">
        <f t="shared" si="1"/>
        <v>2.2545776000000002</v>
      </c>
      <c r="H62" s="10"/>
      <c r="I62" s="10"/>
      <c r="J62" s="9">
        <v>117.50628333333339</v>
      </c>
      <c r="K62" s="9">
        <v>118</v>
      </c>
      <c r="M62" s="9">
        <f t="shared" si="2"/>
        <v>1</v>
      </c>
      <c r="N62" s="9">
        <f t="shared" si="3"/>
        <v>1</v>
      </c>
      <c r="O62" s="9">
        <f t="shared" si="4"/>
        <v>1</v>
      </c>
      <c r="P62" s="9">
        <f t="shared" si="5"/>
        <v>1</v>
      </c>
    </row>
    <row r="63" spans="1:16" x14ac:dyDescent="0.4">
      <c r="A63" s="9" t="s">
        <v>12</v>
      </c>
      <c r="B63" s="11">
        <v>3898.0920000000001</v>
      </c>
      <c r="D63" s="10"/>
      <c r="E63" s="10">
        <v>26522.018</v>
      </c>
      <c r="F63" s="10">
        <f t="shared" si="0"/>
        <v>0.38980920000000002</v>
      </c>
      <c r="G63" s="10"/>
      <c r="H63" s="10"/>
      <c r="I63" s="10">
        <f>IF(E63&lt;&gt;0,E63*P63/10000)</f>
        <v>2.6522017999999998</v>
      </c>
      <c r="J63" s="9">
        <v>118.173</v>
      </c>
      <c r="K63" s="9">
        <v>118.5</v>
      </c>
      <c r="M63" s="9">
        <f t="shared" si="2"/>
        <v>1</v>
      </c>
      <c r="N63" s="9">
        <f t="shared" si="3"/>
        <v>1</v>
      </c>
      <c r="O63" s="9">
        <f t="shared" si="4"/>
        <v>1</v>
      </c>
      <c r="P63" s="9">
        <f t="shared" si="5"/>
        <v>1</v>
      </c>
    </row>
    <row r="64" spans="1:16" x14ac:dyDescent="0.4">
      <c r="A64" s="9" t="s">
        <v>12</v>
      </c>
      <c r="B64" s="11">
        <v>3895.2950000000001</v>
      </c>
      <c r="D64" s="10"/>
      <c r="E64" s="10">
        <v>26524.807000000001</v>
      </c>
      <c r="F64" s="10">
        <f t="shared" si="0"/>
        <v>0.38952950000000003</v>
      </c>
      <c r="G64" s="10"/>
      <c r="H64" s="10"/>
      <c r="I64" s="10">
        <f>IF(E64&lt;&gt;0,E64*P64/10000)</f>
        <v>2.6524806999999999</v>
      </c>
      <c r="J64" s="9">
        <v>118.173</v>
      </c>
      <c r="K64" s="9">
        <v>119</v>
      </c>
      <c r="M64" s="9">
        <f t="shared" si="2"/>
        <v>1</v>
      </c>
      <c r="N64" s="9">
        <f t="shared" si="3"/>
        <v>1</v>
      </c>
      <c r="O64" s="9">
        <f t="shared" si="4"/>
        <v>1</v>
      </c>
      <c r="P64" s="9">
        <f t="shared" si="5"/>
        <v>1</v>
      </c>
    </row>
    <row r="65" spans="1:16" x14ac:dyDescent="0.4">
      <c r="A65" s="9" t="s">
        <v>12</v>
      </c>
      <c r="B65" s="11">
        <v>3829.884</v>
      </c>
      <c r="D65" s="10"/>
      <c r="E65" s="10">
        <v>26586.894</v>
      </c>
      <c r="F65" s="10">
        <f t="shared" si="0"/>
        <v>0.38298840000000001</v>
      </c>
      <c r="G65" s="10"/>
      <c r="H65" s="10"/>
      <c r="I65" s="10">
        <f>IF(E65&lt;&gt;0,E65*P65/10000)</f>
        <v>2.6586894000000001</v>
      </c>
      <c r="J65" s="9">
        <v>118.33973333333336</v>
      </c>
      <c r="K65" s="9">
        <v>119.5</v>
      </c>
      <c r="M65" s="9">
        <f t="shared" si="2"/>
        <v>1</v>
      </c>
      <c r="N65" s="9">
        <f t="shared" si="3"/>
        <v>1</v>
      </c>
      <c r="O65" s="9">
        <f t="shared" si="4"/>
        <v>1</v>
      </c>
      <c r="P65" s="9">
        <f t="shared" si="5"/>
        <v>1</v>
      </c>
    </row>
    <row r="66" spans="1:16" x14ac:dyDescent="0.4">
      <c r="A66" s="9" t="s">
        <v>12</v>
      </c>
      <c r="B66" s="11">
        <v>3798.09</v>
      </c>
      <c r="D66" s="10"/>
      <c r="E66" s="10">
        <v>26616.867999999999</v>
      </c>
      <c r="F66" s="10">
        <f t="shared" si="0"/>
        <v>0.37980900000000001</v>
      </c>
      <c r="G66" s="10"/>
      <c r="H66" s="10"/>
      <c r="I66" s="10">
        <f>IF(E66&lt;&gt;0,E66*P66/10000)</f>
        <v>2.6616868</v>
      </c>
      <c r="J66" s="9">
        <v>118.50633333333326</v>
      </c>
      <c r="K66" s="9">
        <v>120</v>
      </c>
      <c r="M66" s="9">
        <f t="shared" si="2"/>
        <v>1</v>
      </c>
      <c r="N66" s="9">
        <f t="shared" si="3"/>
        <v>1</v>
      </c>
      <c r="O66" s="9">
        <f t="shared" si="4"/>
        <v>1</v>
      </c>
      <c r="P66" s="9">
        <f t="shared" si="5"/>
        <v>1</v>
      </c>
    </row>
    <row r="67" spans="1:16" x14ac:dyDescent="0.4">
      <c r="A67" s="9" t="s">
        <v>10</v>
      </c>
      <c r="B67" s="10">
        <v>20083.466</v>
      </c>
      <c r="C67" s="10">
        <v>22545.776000000002</v>
      </c>
      <c r="D67" s="10"/>
      <c r="E67" s="10"/>
      <c r="F67" s="10">
        <f t="shared" si="0"/>
        <v>2.0083465999999999</v>
      </c>
      <c r="G67" s="10">
        <f t="shared" si="1"/>
        <v>2.2545776000000002</v>
      </c>
      <c r="H67" s="10"/>
      <c r="I67" s="10"/>
      <c r="J67" s="9">
        <v>118.83966666666663</v>
      </c>
      <c r="K67" s="9">
        <v>120.5</v>
      </c>
      <c r="M67" s="9">
        <f t="shared" si="2"/>
        <v>1</v>
      </c>
      <c r="N67" s="9">
        <f t="shared" si="3"/>
        <v>1</v>
      </c>
      <c r="O67" s="9">
        <f t="shared" si="4"/>
        <v>1</v>
      </c>
      <c r="P67" s="9">
        <f t="shared" si="5"/>
        <v>1</v>
      </c>
    </row>
    <row r="68" spans="1:16" x14ac:dyDescent="0.4">
      <c r="A68" s="9" t="s">
        <v>10</v>
      </c>
      <c r="B68" s="10">
        <v>3438.808</v>
      </c>
      <c r="C68" s="10">
        <v>26402.308000000001</v>
      </c>
      <c r="D68" s="10"/>
      <c r="E68" s="10"/>
      <c r="F68" s="10">
        <f t="shared" ref="F68:F131" si="6">B68*M68/10000</f>
        <v>0.34388079999999999</v>
      </c>
      <c r="G68" s="10">
        <f>IF(C68&lt;&gt;0,C68*N68/10000)</f>
        <v>2.6402307999999999</v>
      </c>
      <c r="H68" s="10"/>
      <c r="I68" s="10"/>
      <c r="J68" s="9">
        <v>119.33966666666663</v>
      </c>
      <c r="K68" s="9">
        <v>121</v>
      </c>
      <c r="M68" s="9">
        <f t="shared" ref="M68:M131" si="7">IF(K68&gt;=J68,1,0)</f>
        <v>1</v>
      </c>
      <c r="N68" s="9">
        <f t="shared" ref="N68:N131" si="8">IF(K68&gt;=J68,1,0)</f>
        <v>1</v>
      </c>
      <c r="O68" s="9">
        <f t="shared" ref="O68:O131" si="9">IF(K68&gt;=J68,1,0)</f>
        <v>1</v>
      </c>
      <c r="P68" s="9">
        <f t="shared" ref="P68:P131" si="10">IF(K68&gt;=J68,1,0)</f>
        <v>1</v>
      </c>
    </row>
    <row r="69" spans="1:16" x14ac:dyDescent="0.4">
      <c r="A69" s="9" t="s">
        <v>10</v>
      </c>
      <c r="B69" s="10">
        <v>20083.466</v>
      </c>
      <c r="C69" s="10">
        <v>22545.776000000002</v>
      </c>
      <c r="D69" s="10"/>
      <c r="E69" s="10"/>
      <c r="F69" s="10">
        <f t="shared" si="6"/>
        <v>2.0083465999999999</v>
      </c>
      <c r="G69" s="10">
        <f>IF(C69&lt;&gt;0,C69*N69/10000)</f>
        <v>2.2545776000000002</v>
      </c>
      <c r="H69" s="10"/>
      <c r="I69" s="10"/>
      <c r="J69" s="9">
        <v>119.67306666666661</v>
      </c>
      <c r="K69" s="9">
        <v>121.5</v>
      </c>
      <c r="M69" s="9">
        <f t="shared" si="7"/>
        <v>1</v>
      </c>
      <c r="N69" s="9">
        <f t="shared" si="8"/>
        <v>1</v>
      </c>
      <c r="O69" s="9">
        <f t="shared" si="9"/>
        <v>1</v>
      </c>
      <c r="P69" s="9">
        <f t="shared" si="10"/>
        <v>1</v>
      </c>
    </row>
    <row r="70" spans="1:16" x14ac:dyDescent="0.4">
      <c r="A70" s="9" t="s">
        <v>10</v>
      </c>
      <c r="B70" s="10">
        <v>3471.1959999999999</v>
      </c>
      <c r="C70" s="10">
        <v>26507.786</v>
      </c>
      <c r="D70" s="10"/>
      <c r="E70" s="10"/>
      <c r="F70" s="10">
        <f t="shared" si="6"/>
        <v>0.34711959999999997</v>
      </c>
      <c r="G70" s="10">
        <f>IF(C70&lt;&gt;0,C70*N70/10000)</f>
        <v>2.6507786000000002</v>
      </c>
      <c r="H70" s="10"/>
      <c r="I70" s="10"/>
      <c r="J70" s="9">
        <v>119.67306666666661</v>
      </c>
      <c r="K70" s="9">
        <v>122</v>
      </c>
      <c r="M70" s="9">
        <f t="shared" si="7"/>
        <v>1</v>
      </c>
      <c r="N70" s="9">
        <f t="shared" si="8"/>
        <v>1</v>
      </c>
      <c r="O70" s="9">
        <f t="shared" si="9"/>
        <v>1</v>
      </c>
      <c r="P70" s="9">
        <f t="shared" si="10"/>
        <v>1</v>
      </c>
    </row>
    <row r="71" spans="1:16" x14ac:dyDescent="0.4">
      <c r="A71" s="9" t="s">
        <v>12</v>
      </c>
      <c r="B71" s="11">
        <v>3732.4740000000002</v>
      </c>
      <c r="D71" s="10"/>
      <c r="E71" s="10">
        <v>26683.109</v>
      </c>
      <c r="F71" s="10">
        <f t="shared" si="6"/>
        <v>0.37324740000000001</v>
      </c>
      <c r="G71" s="10"/>
      <c r="H71" s="10"/>
      <c r="I71" s="10">
        <f t="shared" ref="I71:I123" si="11">IF(E71&lt;&gt;0,E71*P71/10000)</f>
        <v>2.6683108999999998</v>
      </c>
      <c r="J71" s="9">
        <v>120.17315000000008</v>
      </c>
      <c r="K71" s="9">
        <v>122.5</v>
      </c>
      <c r="M71" s="9">
        <f t="shared" si="7"/>
        <v>1</v>
      </c>
      <c r="N71" s="9">
        <f t="shared" si="8"/>
        <v>1</v>
      </c>
      <c r="O71" s="9">
        <f t="shared" si="9"/>
        <v>1</v>
      </c>
      <c r="P71" s="9">
        <f t="shared" si="10"/>
        <v>1</v>
      </c>
    </row>
    <row r="72" spans="1:16" x14ac:dyDescent="0.4">
      <c r="A72" s="9" t="s">
        <v>10</v>
      </c>
      <c r="B72" s="10">
        <v>2155.8249999999998</v>
      </c>
      <c r="C72" s="10">
        <v>24685.307000000001</v>
      </c>
      <c r="D72" s="10"/>
      <c r="E72" s="10"/>
      <c r="F72" s="10">
        <f t="shared" si="6"/>
        <v>0.21558249999999998</v>
      </c>
      <c r="G72" s="10">
        <f>IF(C72&lt;&gt;0,C72*N72/10000)</f>
        <v>2.4685307000000001</v>
      </c>
      <c r="H72" s="10"/>
      <c r="I72" s="10"/>
      <c r="J72" s="9">
        <v>120.33981666666671</v>
      </c>
      <c r="K72" s="9">
        <v>123</v>
      </c>
      <c r="M72" s="9">
        <f t="shared" si="7"/>
        <v>1</v>
      </c>
      <c r="N72" s="9">
        <f t="shared" si="8"/>
        <v>1</v>
      </c>
      <c r="O72" s="9">
        <f t="shared" si="9"/>
        <v>1</v>
      </c>
      <c r="P72" s="9">
        <f t="shared" si="10"/>
        <v>1</v>
      </c>
    </row>
    <row r="73" spans="1:16" x14ac:dyDescent="0.4">
      <c r="A73" s="9" t="s">
        <v>12</v>
      </c>
      <c r="B73" s="11">
        <v>3740.5830000000001</v>
      </c>
      <c r="D73" s="10"/>
      <c r="E73" s="10">
        <v>26563.362000000001</v>
      </c>
      <c r="F73" s="10">
        <f t="shared" si="6"/>
        <v>0.37405830000000001</v>
      </c>
      <c r="G73" s="10"/>
      <c r="H73" s="10"/>
      <c r="I73" s="10">
        <f t="shared" si="11"/>
        <v>2.6563362000000001</v>
      </c>
      <c r="J73" s="9">
        <v>120.50648333333334</v>
      </c>
      <c r="K73" s="9">
        <v>123.5</v>
      </c>
      <c r="M73" s="9">
        <f t="shared" si="7"/>
        <v>1</v>
      </c>
      <c r="N73" s="9">
        <f t="shared" si="8"/>
        <v>1</v>
      </c>
      <c r="O73" s="9">
        <f t="shared" si="9"/>
        <v>1</v>
      </c>
      <c r="P73" s="9">
        <f t="shared" si="10"/>
        <v>1</v>
      </c>
    </row>
    <row r="74" spans="1:16" x14ac:dyDescent="0.4">
      <c r="A74" s="9" t="s">
        <v>11</v>
      </c>
      <c r="B74" s="11">
        <v>14696.223</v>
      </c>
      <c r="C74" s="10"/>
      <c r="D74" s="10">
        <v>23188.098999999998</v>
      </c>
      <c r="E74" s="10"/>
      <c r="F74" s="10">
        <f t="shared" si="6"/>
        <v>1.4696222999999999</v>
      </c>
      <c r="G74" s="10"/>
      <c r="H74" s="10">
        <f>IF(D74&lt;&gt;0,D74*O74/10000)</f>
        <v>2.3188098999999998</v>
      </c>
      <c r="I74" s="10"/>
      <c r="J74" s="9">
        <v>121.2516833333334</v>
      </c>
      <c r="K74" s="9">
        <v>124</v>
      </c>
      <c r="M74" s="9">
        <f t="shared" si="7"/>
        <v>1</v>
      </c>
      <c r="N74" s="9">
        <f t="shared" si="8"/>
        <v>1</v>
      </c>
      <c r="O74" s="9">
        <f t="shared" si="9"/>
        <v>1</v>
      </c>
      <c r="P74" s="9">
        <f t="shared" si="10"/>
        <v>1</v>
      </c>
    </row>
    <row r="75" spans="1:16" x14ac:dyDescent="0.4">
      <c r="A75" s="9" t="s">
        <v>12</v>
      </c>
      <c r="B75" s="11">
        <v>3841.1120000000001</v>
      </c>
      <c r="D75" s="10"/>
      <c r="E75" s="10">
        <v>26572.350999999999</v>
      </c>
      <c r="F75" s="10">
        <f t="shared" si="6"/>
        <v>0.38411119999999999</v>
      </c>
      <c r="G75" s="10"/>
      <c r="H75" s="10"/>
      <c r="I75" s="10">
        <f t="shared" si="11"/>
        <v>2.6572350999999998</v>
      </c>
      <c r="J75" s="9">
        <v>122.00653333333332</v>
      </c>
      <c r="K75" s="9">
        <v>124.5</v>
      </c>
      <c r="M75" s="9">
        <f t="shared" si="7"/>
        <v>1</v>
      </c>
      <c r="N75" s="9">
        <f t="shared" si="8"/>
        <v>1</v>
      </c>
      <c r="O75" s="9">
        <f t="shared" si="9"/>
        <v>1</v>
      </c>
      <c r="P75" s="9">
        <f t="shared" si="10"/>
        <v>1</v>
      </c>
    </row>
    <row r="76" spans="1:16" x14ac:dyDescent="0.4">
      <c r="A76" s="9" t="s">
        <v>12</v>
      </c>
      <c r="B76" s="11">
        <v>3811.4369999999999</v>
      </c>
      <c r="D76" s="10"/>
      <c r="E76" s="10">
        <v>26595.595000000001</v>
      </c>
      <c r="F76" s="10">
        <f t="shared" si="6"/>
        <v>0.38114369999999997</v>
      </c>
      <c r="G76" s="10"/>
      <c r="H76" s="10"/>
      <c r="I76" s="10">
        <f t="shared" si="11"/>
        <v>2.6595595000000003</v>
      </c>
      <c r="J76" s="9">
        <v>122.00661666666679</v>
      </c>
      <c r="K76" s="9">
        <v>125</v>
      </c>
      <c r="M76" s="9">
        <f t="shared" si="7"/>
        <v>1</v>
      </c>
      <c r="N76" s="9">
        <f t="shared" si="8"/>
        <v>1</v>
      </c>
      <c r="O76" s="9">
        <f t="shared" si="9"/>
        <v>1</v>
      </c>
      <c r="P76" s="9">
        <f t="shared" si="10"/>
        <v>1</v>
      </c>
    </row>
    <row r="77" spans="1:16" x14ac:dyDescent="0.4">
      <c r="A77" s="9" t="s">
        <v>12</v>
      </c>
      <c r="B77" s="11">
        <v>3825.971</v>
      </c>
      <c r="D77" s="10"/>
      <c r="E77" s="10">
        <v>26584.228999999999</v>
      </c>
      <c r="F77" s="10">
        <f t="shared" si="6"/>
        <v>0.38259710000000002</v>
      </c>
      <c r="G77" s="10"/>
      <c r="H77" s="10"/>
      <c r="I77" s="10">
        <f t="shared" si="11"/>
        <v>2.6584229000000001</v>
      </c>
      <c r="J77" s="9">
        <v>122.00661666666679</v>
      </c>
      <c r="K77" s="9">
        <v>125.5</v>
      </c>
      <c r="M77" s="9">
        <f t="shared" si="7"/>
        <v>1</v>
      </c>
      <c r="N77" s="9">
        <f t="shared" si="8"/>
        <v>1</v>
      </c>
      <c r="O77" s="9">
        <f t="shared" si="9"/>
        <v>1</v>
      </c>
      <c r="P77" s="9">
        <f t="shared" si="10"/>
        <v>1</v>
      </c>
    </row>
    <row r="78" spans="1:16" x14ac:dyDescent="0.4">
      <c r="A78" s="9" t="s">
        <v>12</v>
      </c>
      <c r="B78" s="11">
        <v>3807.806</v>
      </c>
      <c r="D78" s="10"/>
      <c r="E78" s="10">
        <v>26598.424999999999</v>
      </c>
      <c r="F78" s="10">
        <f t="shared" si="6"/>
        <v>0.38078060000000002</v>
      </c>
      <c r="G78" s="10"/>
      <c r="H78" s="10"/>
      <c r="I78" s="10">
        <f t="shared" si="11"/>
        <v>2.6598424999999999</v>
      </c>
      <c r="J78" s="9">
        <v>122.00661666666679</v>
      </c>
      <c r="K78" s="9">
        <v>126</v>
      </c>
      <c r="M78" s="9">
        <f t="shared" si="7"/>
        <v>1</v>
      </c>
      <c r="N78" s="9">
        <f t="shared" si="8"/>
        <v>1</v>
      </c>
      <c r="O78" s="9">
        <f t="shared" si="9"/>
        <v>1</v>
      </c>
      <c r="P78" s="9">
        <f t="shared" si="10"/>
        <v>1</v>
      </c>
    </row>
    <row r="79" spans="1:16" x14ac:dyDescent="0.4">
      <c r="A79" s="9" t="s">
        <v>11</v>
      </c>
      <c r="B79" s="11">
        <v>3582.2489999999998</v>
      </c>
      <c r="C79" s="10"/>
      <c r="D79" s="10">
        <v>26869.455000000002</v>
      </c>
      <c r="E79" s="10"/>
      <c r="F79" s="10">
        <f t="shared" si="6"/>
        <v>0.35822489999999996</v>
      </c>
      <c r="G79" s="10"/>
      <c r="H79" s="10">
        <f>IF(D79&lt;&gt;0,D79*O79/10000)</f>
        <v>2.6869455000000002</v>
      </c>
      <c r="I79" s="10"/>
      <c r="J79" s="9">
        <v>123.25020000000006</v>
      </c>
      <c r="K79" s="9">
        <v>126.5</v>
      </c>
      <c r="M79" s="9">
        <f t="shared" si="7"/>
        <v>1</v>
      </c>
      <c r="N79" s="9">
        <f t="shared" si="8"/>
        <v>1</v>
      </c>
      <c r="O79" s="9">
        <f t="shared" si="9"/>
        <v>1</v>
      </c>
      <c r="P79" s="9">
        <f t="shared" si="10"/>
        <v>1</v>
      </c>
    </row>
    <row r="80" spans="1:16" x14ac:dyDescent="0.4">
      <c r="A80" s="9" t="s">
        <v>11</v>
      </c>
      <c r="B80" s="11">
        <v>3582.2489999999998</v>
      </c>
      <c r="C80" s="10"/>
      <c r="D80" s="10">
        <v>26869.455000000002</v>
      </c>
      <c r="E80" s="10"/>
      <c r="F80" s="10">
        <f t="shared" si="6"/>
        <v>0.35822489999999996</v>
      </c>
      <c r="G80" s="10"/>
      <c r="H80" s="10">
        <f>IF(D80&lt;&gt;0,D80*O80/10000)</f>
        <v>2.6869455000000002</v>
      </c>
      <c r="I80" s="10"/>
      <c r="J80" s="9">
        <v>123.38313333333326</v>
      </c>
      <c r="K80" s="9">
        <v>127</v>
      </c>
      <c r="M80" s="9">
        <f t="shared" si="7"/>
        <v>1</v>
      </c>
      <c r="N80" s="9">
        <f t="shared" si="8"/>
        <v>1</v>
      </c>
      <c r="O80" s="9">
        <f t="shared" si="9"/>
        <v>1</v>
      </c>
      <c r="P80" s="9">
        <f t="shared" si="10"/>
        <v>1</v>
      </c>
    </row>
    <row r="81" spans="1:16" x14ac:dyDescent="0.4">
      <c r="A81" s="9" t="s">
        <v>11</v>
      </c>
      <c r="B81" s="11">
        <v>3787.373</v>
      </c>
      <c r="C81" s="10"/>
      <c r="D81" s="10">
        <v>26621.508000000002</v>
      </c>
      <c r="E81" s="10"/>
      <c r="F81" s="10">
        <f t="shared" si="6"/>
        <v>0.3787373</v>
      </c>
      <c r="G81" s="10"/>
      <c r="H81" s="10">
        <f>IF(D81&lt;&gt;0,D81*O81/10000)</f>
        <v>2.6621508</v>
      </c>
      <c r="I81" s="10"/>
      <c r="J81" s="9">
        <v>125.79520000000002</v>
      </c>
      <c r="K81" s="9">
        <v>127.5</v>
      </c>
      <c r="M81" s="9">
        <f t="shared" si="7"/>
        <v>1</v>
      </c>
      <c r="N81" s="9">
        <f t="shared" si="8"/>
        <v>1</v>
      </c>
      <c r="O81" s="9">
        <f t="shared" si="9"/>
        <v>1</v>
      </c>
      <c r="P81" s="9">
        <f t="shared" si="10"/>
        <v>1</v>
      </c>
    </row>
    <row r="82" spans="1:16" x14ac:dyDescent="0.4">
      <c r="A82" s="9" t="s">
        <v>12</v>
      </c>
      <c r="B82" s="11">
        <v>3721.3290000000002</v>
      </c>
      <c r="D82" s="10"/>
      <c r="E82" s="10">
        <v>26636.799999999999</v>
      </c>
      <c r="F82" s="10">
        <f t="shared" si="6"/>
        <v>0.37213290000000004</v>
      </c>
      <c r="G82" s="10"/>
      <c r="H82" s="10"/>
      <c r="I82" s="10">
        <f t="shared" si="11"/>
        <v>2.6636799999999998</v>
      </c>
      <c r="J82" s="9">
        <v>126.17353333333335</v>
      </c>
      <c r="K82" s="9">
        <v>128</v>
      </c>
      <c r="M82" s="9">
        <f t="shared" si="7"/>
        <v>1</v>
      </c>
      <c r="N82" s="9">
        <f t="shared" si="8"/>
        <v>1</v>
      </c>
      <c r="O82" s="9">
        <f t="shared" si="9"/>
        <v>1</v>
      </c>
      <c r="P82" s="9">
        <f t="shared" si="10"/>
        <v>1</v>
      </c>
    </row>
    <row r="83" spans="1:16" x14ac:dyDescent="0.4">
      <c r="A83" s="9" t="s">
        <v>12</v>
      </c>
      <c r="B83" s="11">
        <v>3787.2350000000001</v>
      </c>
      <c r="D83" s="10"/>
      <c r="E83" s="10">
        <v>26614.842000000001</v>
      </c>
      <c r="F83" s="10">
        <f t="shared" si="6"/>
        <v>0.37872349999999999</v>
      </c>
      <c r="G83" s="10"/>
      <c r="H83" s="10"/>
      <c r="I83" s="10">
        <f t="shared" si="11"/>
        <v>2.6614841999999999</v>
      </c>
      <c r="J83" s="9">
        <v>126.3402000000001</v>
      </c>
      <c r="K83" s="9">
        <v>128.5</v>
      </c>
      <c r="M83" s="9">
        <f t="shared" si="7"/>
        <v>1</v>
      </c>
      <c r="N83" s="9">
        <f t="shared" si="8"/>
        <v>1</v>
      </c>
      <c r="O83" s="9">
        <f t="shared" si="9"/>
        <v>1</v>
      </c>
      <c r="P83" s="9">
        <f t="shared" si="10"/>
        <v>1</v>
      </c>
    </row>
    <row r="84" spans="1:16" x14ac:dyDescent="0.4">
      <c r="A84" s="9" t="s">
        <v>12</v>
      </c>
      <c r="B84" s="11">
        <v>3785.8980000000001</v>
      </c>
      <c r="D84" s="10"/>
      <c r="E84" s="10">
        <v>26615.31</v>
      </c>
      <c r="F84" s="10">
        <f t="shared" si="6"/>
        <v>0.37858980000000003</v>
      </c>
      <c r="G84" s="10"/>
      <c r="H84" s="10"/>
      <c r="I84" s="10">
        <f t="shared" si="11"/>
        <v>2.6615310000000001</v>
      </c>
      <c r="J84" s="9">
        <v>126.50686666666672</v>
      </c>
      <c r="K84" s="9">
        <v>129</v>
      </c>
      <c r="M84" s="9">
        <f t="shared" si="7"/>
        <v>1</v>
      </c>
      <c r="N84" s="9">
        <f t="shared" si="8"/>
        <v>1</v>
      </c>
      <c r="O84" s="9">
        <f t="shared" si="9"/>
        <v>1</v>
      </c>
      <c r="P84" s="9">
        <f t="shared" si="10"/>
        <v>1</v>
      </c>
    </row>
    <row r="85" spans="1:16" x14ac:dyDescent="0.4">
      <c r="A85" s="9" t="s">
        <v>12</v>
      </c>
      <c r="B85" s="11">
        <v>3781.5540000000001</v>
      </c>
      <c r="D85" s="10"/>
      <c r="E85" s="10">
        <v>26607.52</v>
      </c>
      <c r="F85" s="10">
        <f t="shared" si="6"/>
        <v>0.37815540000000003</v>
      </c>
      <c r="G85" s="10"/>
      <c r="H85" s="10"/>
      <c r="I85" s="10">
        <f t="shared" si="11"/>
        <v>2.660752</v>
      </c>
      <c r="J85" s="9">
        <v>126.50686666666672</v>
      </c>
      <c r="K85" s="9">
        <v>129.5</v>
      </c>
      <c r="M85" s="9">
        <f t="shared" si="7"/>
        <v>1</v>
      </c>
      <c r="N85" s="9">
        <f t="shared" si="8"/>
        <v>1</v>
      </c>
      <c r="O85" s="9">
        <f t="shared" si="9"/>
        <v>1</v>
      </c>
      <c r="P85" s="9">
        <f t="shared" si="10"/>
        <v>1</v>
      </c>
    </row>
    <row r="86" spans="1:16" x14ac:dyDescent="0.4">
      <c r="A86" s="9" t="s">
        <v>10</v>
      </c>
      <c r="B86" s="10">
        <v>83095.202999999994</v>
      </c>
      <c r="C86" s="10">
        <v>22980.1</v>
      </c>
      <c r="D86" s="10"/>
      <c r="E86" s="10"/>
      <c r="F86" s="10">
        <f t="shared" si="6"/>
        <v>8.3095202999999991</v>
      </c>
      <c r="G86" s="10">
        <f>IF(C86&lt;&gt;0,C86*N86/10000)</f>
        <v>2.2980099999999997</v>
      </c>
      <c r="H86" s="10"/>
      <c r="I86" s="10"/>
      <c r="J86" s="9">
        <v>126.67348333333337</v>
      </c>
      <c r="K86" s="9">
        <v>130</v>
      </c>
      <c r="M86" s="9">
        <f t="shared" si="7"/>
        <v>1</v>
      </c>
      <c r="N86" s="9">
        <f t="shared" si="8"/>
        <v>1</v>
      </c>
      <c r="O86" s="9">
        <f t="shared" si="9"/>
        <v>1</v>
      </c>
      <c r="P86" s="9">
        <f t="shared" si="10"/>
        <v>1</v>
      </c>
    </row>
    <row r="87" spans="1:16" x14ac:dyDescent="0.4">
      <c r="A87" s="9" t="s">
        <v>12</v>
      </c>
      <c r="B87" s="11">
        <v>3827.6990000000001</v>
      </c>
      <c r="D87" s="10"/>
      <c r="E87" s="10">
        <v>26557.050999999999</v>
      </c>
      <c r="F87" s="10">
        <f t="shared" si="6"/>
        <v>0.3827699</v>
      </c>
      <c r="G87" s="10"/>
      <c r="H87" s="10"/>
      <c r="I87" s="10">
        <f t="shared" si="11"/>
        <v>2.6557051</v>
      </c>
      <c r="J87" s="9">
        <v>127.17353333333335</v>
      </c>
      <c r="K87" s="9">
        <v>130.5</v>
      </c>
      <c r="M87" s="9">
        <f t="shared" si="7"/>
        <v>1</v>
      </c>
      <c r="N87" s="9">
        <f t="shared" si="8"/>
        <v>1</v>
      </c>
      <c r="O87" s="9">
        <f t="shared" si="9"/>
        <v>1</v>
      </c>
      <c r="P87" s="9">
        <f t="shared" si="10"/>
        <v>1</v>
      </c>
    </row>
    <row r="88" spans="1:16" x14ac:dyDescent="0.4">
      <c r="A88" s="9" t="s">
        <v>10</v>
      </c>
      <c r="B88" s="10">
        <v>3582.2489999999998</v>
      </c>
      <c r="C88" s="10">
        <v>26869.455000000002</v>
      </c>
      <c r="D88" s="10"/>
      <c r="E88" s="10"/>
      <c r="F88" s="10">
        <f t="shared" si="6"/>
        <v>0.35822489999999996</v>
      </c>
      <c r="G88" s="10">
        <f>IF(C88&lt;&gt;0,C88*N88/10000)</f>
        <v>2.6869455000000002</v>
      </c>
      <c r="H88" s="10"/>
      <c r="I88" s="10"/>
      <c r="J88" s="9">
        <v>129.84035000000006</v>
      </c>
      <c r="K88" s="9">
        <v>131</v>
      </c>
      <c r="M88" s="9">
        <f t="shared" si="7"/>
        <v>1</v>
      </c>
      <c r="N88" s="9">
        <f t="shared" si="8"/>
        <v>1</v>
      </c>
      <c r="O88" s="9">
        <f t="shared" si="9"/>
        <v>1</v>
      </c>
      <c r="P88" s="9">
        <f t="shared" si="10"/>
        <v>1</v>
      </c>
    </row>
    <row r="89" spans="1:16" x14ac:dyDescent="0.4">
      <c r="A89" s="9" t="s">
        <v>12</v>
      </c>
      <c r="B89" s="11">
        <v>3741.75</v>
      </c>
      <c r="D89" s="10"/>
      <c r="E89" s="10">
        <v>26671.309000000001</v>
      </c>
      <c r="F89" s="10">
        <f t="shared" si="6"/>
        <v>0.37417499999999998</v>
      </c>
      <c r="G89" s="10"/>
      <c r="H89" s="10"/>
      <c r="I89" s="10">
        <f t="shared" si="11"/>
        <v>2.6671309000000001</v>
      </c>
      <c r="J89" s="9">
        <v>129.84040000000005</v>
      </c>
      <c r="K89" s="9">
        <v>131.5</v>
      </c>
      <c r="M89" s="9">
        <f t="shared" si="7"/>
        <v>1</v>
      </c>
      <c r="N89" s="9">
        <f t="shared" si="8"/>
        <v>1</v>
      </c>
      <c r="O89" s="9">
        <f t="shared" si="9"/>
        <v>1</v>
      </c>
      <c r="P89" s="9">
        <f t="shared" si="10"/>
        <v>1</v>
      </c>
    </row>
    <row r="90" spans="1:16" x14ac:dyDescent="0.4">
      <c r="A90" s="9" t="s">
        <v>12</v>
      </c>
      <c r="B90" s="11">
        <v>3785.8649999999998</v>
      </c>
      <c r="D90" s="10"/>
      <c r="E90" s="10">
        <v>26615.54</v>
      </c>
      <c r="F90" s="10">
        <f t="shared" si="6"/>
        <v>0.37858649999999999</v>
      </c>
      <c r="G90" s="10"/>
      <c r="H90" s="10"/>
      <c r="I90" s="10">
        <f t="shared" si="11"/>
        <v>2.6615540000000002</v>
      </c>
      <c r="J90" s="9">
        <v>130.34040000000005</v>
      </c>
      <c r="K90" s="9">
        <v>132</v>
      </c>
      <c r="M90" s="9">
        <f t="shared" si="7"/>
        <v>1</v>
      </c>
      <c r="N90" s="9">
        <f t="shared" si="8"/>
        <v>1</v>
      </c>
      <c r="O90" s="9">
        <f t="shared" si="9"/>
        <v>1</v>
      </c>
      <c r="P90" s="9">
        <f t="shared" si="10"/>
        <v>1</v>
      </c>
    </row>
    <row r="91" spans="1:16" x14ac:dyDescent="0.4">
      <c r="A91" s="9" t="s">
        <v>11</v>
      </c>
      <c r="B91" s="11">
        <v>3785.8649999999998</v>
      </c>
      <c r="C91" s="10"/>
      <c r="D91" s="10">
        <v>26615.54</v>
      </c>
      <c r="E91" s="10"/>
      <c r="F91" s="10">
        <f t="shared" si="6"/>
        <v>0.37858649999999999</v>
      </c>
      <c r="G91" s="10"/>
      <c r="H91" s="10">
        <f>IF(D91&lt;&gt;0,D91*O91/10000)</f>
        <v>2.6615540000000002</v>
      </c>
      <c r="I91" s="10"/>
      <c r="J91" s="9">
        <v>130.34273333333329</v>
      </c>
      <c r="K91" s="9">
        <v>132.5</v>
      </c>
      <c r="M91" s="9">
        <f t="shared" si="7"/>
        <v>1</v>
      </c>
      <c r="N91" s="9">
        <f t="shared" si="8"/>
        <v>1</v>
      </c>
      <c r="O91" s="9">
        <f t="shared" si="9"/>
        <v>1</v>
      </c>
      <c r="P91" s="9">
        <f t="shared" si="10"/>
        <v>1</v>
      </c>
    </row>
    <row r="92" spans="1:16" x14ac:dyDescent="0.4">
      <c r="A92" s="9" t="s">
        <v>12</v>
      </c>
      <c r="B92" s="11">
        <v>3777.8249999999998</v>
      </c>
      <c r="D92" s="10"/>
      <c r="E92" s="10">
        <v>26573.26</v>
      </c>
      <c r="F92" s="10">
        <f t="shared" si="6"/>
        <v>0.37778249999999997</v>
      </c>
      <c r="G92" s="10"/>
      <c r="H92" s="10"/>
      <c r="I92" s="10">
        <f t="shared" si="11"/>
        <v>2.6573259999999999</v>
      </c>
      <c r="J92" s="9">
        <v>132.34055000000012</v>
      </c>
      <c r="K92" s="9">
        <v>133</v>
      </c>
      <c r="M92" s="9">
        <f t="shared" si="7"/>
        <v>1</v>
      </c>
      <c r="N92" s="9">
        <f t="shared" si="8"/>
        <v>1</v>
      </c>
      <c r="O92" s="9">
        <f t="shared" si="9"/>
        <v>1</v>
      </c>
      <c r="P92" s="9">
        <f t="shared" si="10"/>
        <v>1</v>
      </c>
    </row>
    <row r="93" spans="1:16" x14ac:dyDescent="0.4">
      <c r="A93" s="9" t="s">
        <v>11</v>
      </c>
      <c r="B93" s="11">
        <v>63628.468999999997</v>
      </c>
      <c r="C93" s="10"/>
      <c r="D93" s="10">
        <v>4752.2209999999995</v>
      </c>
      <c r="E93" s="10"/>
      <c r="F93" s="10">
        <f t="shared" si="6"/>
        <v>6.3628469000000001</v>
      </c>
      <c r="G93" s="10"/>
      <c r="H93" s="10">
        <f>IF(D93&lt;&gt;0,D93*O93/10000)</f>
        <v>0.47522209999999998</v>
      </c>
      <c r="I93" s="10"/>
      <c r="J93" s="9">
        <v>132.36293333333333</v>
      </c>
      <c r="K93" s="9">
        <v>133.5</v>
      </c>
      <c r="M93" s="9">
        <f t="shared" si="7"/>
        <v>1</v>
      </c>
      <c r="N93" s="9">
        <f t="shared" si="8"/>
        <v>1</v>
      </c>
      <c r="O93" s="9">
        <f t="shared" si="9"/>
        <v>1</v>
      </c>
      <c r="P93" s="9">
        <f t="shared" si="10"/>
        <v>1</v>
      </c>
    </row>
    <row r="94" spans="1:16" x14ac:dyDescent="0.4">
      <c r="A94" s="9" t="s">
        <v>12</v>
      </c>
      <c r="B94" s="11">
        <v>3775.3290000000002</v>
      </c>
      <c r="D94" s="10"/>
      <c r="E94" s="10">
        <v>26588.713</v>
      </c>
      <c r="F94" s="10">
        <f t="shared" si="6"/>
        <v>0.3775329</v>
      </c>
      <c r="G94" s="10"/>
      <c r="H94" s="10"/>
      <c r="I94" s="10">
        <f t="shared" si="11"/>
        <v>2.6588712999999999</v>
      </c>
      <c r="J94" s="9">
        <v>132.50721666666675</v>
      </c>
      <c r="K94" s="9">
        <v>134</v>
      </c>
      <c r="M94" s="9">
        <f t="shared" si="7"/>
        <v>1</v>
      </c>
      <c r="N94" s="9">
        <f t="shared" si="8"/>
        <v>1</v>
      </c>
      <c r="O94" s="9">
        <f t="shared" si="9"/>
        <v>1</v>
      </c>
      <c r="P94" s="9">
        <f t="shared" si="10"/>
        <v>1</v>
      </c>
    </row>
    <row r="95" spans="1:16" x14ac:dyDescent="0.4">
      <c r="A95" s="9" t="s">
        <v>11</v>
      </c>
      <c r="B95" s="11">
        <v>3582.2489999999998</v>
      </c>
      <c r="D95" s="10"/>
      <c r="E95" s="10">
        <v>26869.455000000002</v>
      </c>
      <c r="F95" s="10">
        <f t="shared" si="6"/>
        <v>0.35822489999999996</v>
      </c>
      <c r="G95" s="10"/>
      <c r="H95" s="10"/>
      <c r="I95" s="10">
        <f t="shared" si="11"/>
        <v>2.6869455000000002</v>
      </c>
      <c r="J95" s="9">
        <v>132.56826666666666</v>
      </c>
      <c r="K95" s="9">
        <v>134.5</v>
      </c>
      <c r="M95" s="9">
        <f t="shared" si="7"/>
        <v>1</v>
      </c>
      <c r="N95" s="9">
        <f t="shared" si="8"/>
        <v>1</v>
      </c>
      <c r="O95" s="9">
        <f t="shared" si="9"/>
        <v>1</v>
      </c>
      <c r="P95" s="9">
        <f t="shared" si="10"/>
        <v>1</v>
      </c>
    </row>
    <row r="96" spans="1:16" x14ac:dyDescent="0.4">
      <c r="A96" s="9" t="s">
        <v>12</v>
      </c>
      <c r="B96" s="11">
        <v>3775.3290000000002</v>
      </c>
      <c r="D96" s="10"/>
      <c r="E96" s="10">
        <v>26588.713</v>
      </c>
      <c r="F96" s="10">
        <f t="shared" si="6"/>
        <v>0.3775329</v>
      </c>
      <c r="G96" s="10"/>
      <c r="H96" s="10"/>
      <c r="I96" s="10">
        <f t="shared" si="11"/>
        <v>2.6588712999999999</v>
      </c>
      <c r="J96" s="9">
        <v>132.67388333333338</v>
      </c>
      <c r="K96" s="9">
        <v>135</v>
      </c>
      <c r="M96" s="9">
        <f t="shared" si="7"/>
        <v>1</v>
      </c>
      <c r="N96" s="9">
        <f t="shared" si="8"/>
        <v>1</v>
      </c>
      <c r="O96" s="9">
        <f t="shared" si="9"/>
        <v>1</v>
      </c>
      <c r="P96" s="9">
        <f t="shared" si="10"/>
        <v>1</v>
      </c>
    </row>
    <row r="97" spans="1:16" x14ac:dyDescent="0.4">
      <c r="A97" s="9" t="s">
        <v>11</v>
      </c>
      <c r="B97" s="11">
        <v>3582.2489999999998</v>
      </c>
      <c r="C97" s="10"/>
      <c r="D97" s="10">
        <v>26869.455000000002</v>
      </c>
      <c r="E97" s="10"/>
      <c r="F97" s="10">
        <f t="shared" si="6"/>
        <v>0.35822489999999996</v>
      </c>
      <c r="G97" s="10"/>
      <c r="H97" s="10">
        <f>IF(D97&lt;&gt;0,D97*O97/10000)</f>
        <v>2.6869455000000002</v>
      </c>
      <c r="I97" s="10"/>
      <c r="J97" s="9">
        <v>133.40386666666677</v>
      </c>
      <c r="K97" s="9">
        <v>135.5</v>
      </c>
      <c r="M97" s="9">
        <f t="shared" si="7"/>
        <v>1</v>
      </c>
      <c r="N97" s="9">
        <f t="shared" si="8"/>
        <v>1</v>
      </c>
      <c r="O97" s="9">
        <f t="shared" si="9"/>
        <v>1</v>
      </c>
      <c r="P97" s="9">
        <f t="shared" si="10"/>
        <v>1</v>
      </c>
    </row>
    <row r="98" spans="1:16" x14ac:dyDescent="0.4">
      <c r="A98" s="9" t="s">
        <v>11</v>
      </c>
      <c r="B98" s="11">
        <v>3582.2489999999998</v>
      </c>
      <c r="D98" s="10"/>
      <c r="E98" s="10">
        <v>26869.455000000002</v>
      </c>
      <c r="F98" s="10">
        <f t="shared" si="6"/>
        <v>0.35822489999999996</v>
      </c>
      <c r="G98" s="10"/>
      <c r="H98" s="10"/>
      <c r="I98" s="10">
        <f t="shared" si="11"/>
        <v>2.6869455000000002</v>
      </c>
      <c r="J98" s="9">
        <v>133.4572166666668</v>
      </c>
      <c r="K98" s="9">
        <v>136</v>
      </c>
      <c r="M98" s="9">
        <f t="shared" si="7"/>
        <v>1</v>
      </c>
      <c r="N98" s="9">
        <f t="shared" si="8"/>
        <v>1</v>
      </c>
      <c r="O98" s="9">
        <f t="shared" si="9"/>
        <v>1</v>
      </c>
      <c r="P98" s="9">
        <f t="shared" si="10"/>
        <v>1</v>
      </c>
    </row>
    <row r="99" spans="1:16" x14ac:dyDescent="0.4">
      <c r="A99" s="9" t="s">
        <v>11</v>
      </c>
      <c r="B99" s="11">
        <v>3582.2489999999998</v>
      </c>
      <c r="C99" s="10"/>
      <c r="D99" s="10">
        <v>26869.455000000002</v>
      </c>
      <c r="E99" s="10"/>
      <c r="F99" s="10">
        <f t="shared" si="6"/>
        <v>0.35822489999999996</v>
      </c>
      <c r="G99" s="10"/>
      <c r="H99" s="10">
        <f>IF(D99&lt;&gt;0,D99*O99/10000)</f>
        <v>2.6869455000000002</v>
      </c>
      <c r="I99" s="10"/>
      <c r="J99" s="9">
        <v>133.55320000000006</v>
      </c>
      <c r="K99" s="9">
        <v>136.5</v>
      </c>
      <c r="M99" s="9">
        <f t="shared" si="7"/>
        <v>1</v>
      </c>
      <c r="N99" s="9">
        <f t="shared" si="8"/>
        <v>1</v>
      </c>
      <c r="O99" s="9">
        <f t="shared" si="9"/>
        <v>1</v>
      </c>
      <c r="P99" s="9">
        <f t="shared" si="10"/>
        <v>1</v>
      </c>
    </row>
    <row r="100" spans="1:16" x14ac:dyDescent="0.4">
      <c r="A100" s="9" t="s">
        <v>11</v>
      </c>
      <c r="B100" s="11">
        <v>3582.2489999999998</v>
      </c>
      <c r="C100" s="10"/>
      <c r="D100" s="10">
        <v>26869.455000000002</v>
      </c>
      <c r="E100" s="10"/>
      <c r="F100" s="10">
        <f t="shared" si="6"/>
        <v>0.35822489999999996</v>
      </c>
      <c r="G100" s="10"/>
      <c r="H100" s="10">
        <f>IF(D100&lt;&gt;0,D100*O100/10000)</f>
        <v>2.6869455000000002</v>
      </c>
      <c r="I100" s="10"/>
      <c r="J100" s="9">
        <v>133.72528333333332</v>
      </c>
      <c r="K100" s="9">
        <v>137</v>
      </c>
      <c r="M100" s="9">
        <f t="shared" si="7"/>
        <v>1</v>
      </c>
      <c r="N100" s="9">
        <f t="shared" si="8"/>
        <v>1</v>
      </c>
      <c r="O100" s="9">
        <f t="shared" si="9"/>
        <v>1</v>
      </c>
      <c r="P100" s="9">
        <f t="shared" si="10"/>
        <v>1</v>
      </c>
    </row>
    <row r="101" spans="1:16" x14ac:dyDescent="0.4">
      <c r="A101" s="9" t="s">
        <v>11</v>
      </c>
      <c r="B101" s="11">
        <v>3582.2489999999998</v>
      </c>
      <c r="C101" s="10"/>
      <c r="D101" s="10">
        <v>26869.455000000002</v>
      </c>
      <c r="E101" s="10"/>
      <c r="F101" s="10">
        <f t="shared" si="6"/>
        <v>0.35822489999999996</v>
      </c>
      <c r="G101" s="10"/>
      <c r="H101" s="10">
        <f>IF(D101&lt;&gt;0,D101*O101/10000)</f>
        <v>2.6869455000000002</v>
      </c>
      <c r="I101" s="10"/>
      <c r="J101" s="9">
        <v>134.43215000000009</v>
      </c>
      <c r="K101" s="9">
        <v>137.5</v>
      </c>
      <c r="M101" s="9">
        <f t="shared" si="7"/>
        <v>1</v>
      </c>
      <c r="N101" s="9">
        <f t="shared" si="8"/>
        <v>1</v>
      </c>
      <c r="O101" s="9">
        <f t="shared" si="9"/>
        <v>1</v>
      </c>
      <c r="P101" s="9">
        <f t="shared" si="10"/>
        <v>1</v>
      </c>
    </row>
    <row r="102" spans="1:16" x14ac:dyDescent="0.4">
      <c r="A102" s="9" t="s">
        <v>11</v>
      </c>
      <c r="B102" s="11">
        <v>3582.2489999999998</v>
      </c>
      <c r="C102" s="10"/>
      <c r="D102" s="10">
        <v>26869.455000000002</v>
      </c>
      <c r="E102" s="10"/>
      <c r="F102" s="10">
        <f t="shared" si="6"/>
        <v>0.35822489999999996</v>
      </c>
      <c r="G102" s="10"/>
      <c r="H102" s="10">
        <f>IF(D102&lt;&gt;0,D102*O102/10000)</f>
        <v>2.6869455000000002</v>
      </c>
      <c r="I102" s="10"/>
      <c r="J102" s="9">
        <v>134.5010666666667</v>
      </c>
      <c r="K102" s="9">
        <v>138</v>
      </c>
      <c r="M102" s="9">
        <f t="shared" si="7"/>
        <v>1</v>
      </c>
      <c r="N102" s="9">
        <f t="shared" si="8"/>
        <v>1</v>
      </c>
      <c r="O102" s="9">
        <f t="shared" si="9"/>
        <v>1</v>
      </c>
      <c r="P102" s="9">
        <f t="shared" si="10"/>
        <v>1</v>
      </c>
    </row>
    <row r="103" spans="1:16" x14ac:dyDescent="0.4">
      <c r="A103" s="9" t="s">
        <v>11</v>
      </c>
      <c r="B103" s="11">
        <v>3582.2489999999998</v>
      </c>
      <c r="C103" s="10"/>
      <c r="D103" s="10">
        <v>26869.455000000002</v>
      </c>
      <c r="E103" s="10"/>
      <c r="F103" s="10">
        <f t="shared" si="6"/>
        <v>0.35822489999999996</v>
      </c>
      <c r="G103" s="10"/>
      <c r="H103" s="10">
        <f>IF(D103&lt;&gt;0,D103*O103/10000)</f>
        <v>2.6869455000000002</v>
      </c>
      <c r="I103" s="10"/>
      <c r="J103" s="9">
        <v>135.37566666666669</v>
      </c>
      <c r="K103" s="9">
        <v>138.5</v>
      </c>
      <c r="M103" s="9">
        <f t="shared" si="7"/>
        <v>1</v>
      </c>
      <c r="N103" s="9">
        <f t="shared" si="8"/>
        <v>1</v>
      </c>
      <c r="O103" s="9">
        <f t="shared" si="9"/>
        <v>1</v>
      </c>
      <c r="P103" s="9">
        <f t="shared" si="10"/>
        <v>1</v>
      </c>
    </row>
    <row r="104" spans="1:16" x14ac:dyDescent="0.4">
      <c r="A104" s="9" t="s">
        <v>12</v>
      </c>
      <c r="B104" s="11">
        <v>3738.192</v>
      </c>
      <c r="D104" s="10"/>
      <c r="E104" s="10">
        <v>26674.69</v>
      </c>
      <c r="F104" s="10">
        <f t="shared" si="6"/>
        <v>0.37381920000000002</v>
      </c>
      <c r="G104" s="10"/>
      <c r="H104" s="10"/>
      <c r="I104" s="10">
        <f t="shared" si="11"/>
        <v>2.6674690000000001</v>
      </c>
      <c r="J104" s="9">
        <v>137.50746666666669</v>
      </c>
      <c r="K104" s="9">
        <v>139</v>
      </c>
      <c r="M104" s="9">
        <f t="shared" si="7"/>
        <v>1</v>
      </c>
      <c r="N104" s="9">
        <f t="shared" si="8"/>
        <v>1</v>
      </c>
      <c r="O104" s="9">
        <f t="shared" si="9"/>
        <v>1</v>
      </c>
      <c r="P104" s="9">
        <f t="shared" si="10"/>
        <v>1</v>
      </c>
    </row>
    <row r="105" spans="1:16" x14ac:dyDescent="0.4">
      <c r="A105" s="9" t="s">
        <v>12</v>
      </c>
      <c r="B105" s="11">
        <v>3746.68</v>
      </c>
      <c r="D105" s="10"/>
      <c r="E105" s="10">
        <v>26664.155999999999</v>
      </c>
      <c r="F105" s="10">
        <f t="shared" si="6"/>
        <v>0.374668</v>
      </c>
      <c r="G105" s="10"/>
      <c r="H105" s="10"/>
      <c r="I105" s="10">
        <f t="shared" si="11"/>
        <v>2.6664156000000001</v>
      </c>
      <c r="J105" s="9">
        <v>137.50746666666669</v>
      </c>
      <c r="K105" s="9">
        <v>139.5</v>
      </c>
      <c r="M105" s="9">
        <f t="shared" si="7"/>
        <v>1</v>
      </c>
      <c r="N105" s="9">
        <f t="shared" si="8"/>
        <v>1</v>
      </c>
      <c r="O105" s="9">
        <f t="shared" si="9"/>
        <v>1</v>
      </c>
      <c r="P105" s="9">
        <f t="shared" si="10"/>
        <v>1</v>
      </c>
    </row>
    <row r="106" spans="1:16" x14ac:dyDescent="0.4">
      <c r="A106" s="9" t="s">
        <v>12</v>
      </c>
      <c r="B106" s="11">
        <v>3786.306</v>
      </c>
      <c r="D106" s="10"/>
      <c r="E106" s="10">
        <v>26614.992999999999</v>
      </c>
      <c r="F106" s="10">
        <f t="shared" si="6"/>
        <v>0.37863059999999998</v>
      </c>
      <c r="G106" s="10"/>
      <c r="H106" s="10"/>
      <c r="I106" s="10">
        <f t="shared" si="11"/>
        <v>2.6614993</v>
      </c>
      <c r="J106" s="9">
        <v>137.6740666666667</v>
      </c>
      <c r="K106" s="9">
        <v>140</v>
      </c>
      <c r="M106" s="9">
        <f t="shared" si="7"/>
        <v>1</v>
      </c>
      <c r="N106" s="9">
        <f t="shared" si="8"/>
        <v>1</v>
      </c>
      <c r="O106" s="9">
        <f t="shared" si="9"/>
        <v>1</v>
      </c>
      <c r="P106" s="9">
        <f t="shared" si="10"/>
        <v>1</v>
      </c>
    </row>
    <row r="107" spans="1:16" x14ac:dyDescent="0.4">
      <c r="A107" s="9" t="s">
        <v>12</v>
      </c>
      <c r="B107" s="11">
        <v>3773.3539999999998</v>
      </c>
      <c r="D107" s="10"/>
      <c r="E107" s="10">
        <v>26631.055</v>
      </c>
      <c r="F107" s="10">
        <f t="shared" si="6"/>
        <v>0.37733539999999999</v>
      </c>
      <c r="G107" s="10"/>
      <c r="H107" s="10"/>
      <c r="I107" s="10">
        <f t="shared" si="11"/>
        <v>2.6631054999999999</v>
      </c>
      <c r="J107" s="9">
        <v>137.67413333333343</v>
      </c>
      <c r="K107" s="9">
        <v>140.5</v>
      </c>
      <c r="M107" s="9">
        <f t="shared" si="7"/>
        <v>1</v>
      </c>
      <c r="N107" s="9">
        <f t="shared" si="8"/>
        <v>1</v>
      </c>
      <c r="O107" s="9">
        <f t="shared" si="9"/>
        <v>1</v>
      </c>
      <c r="P107" s="9">
        <f t="shared" si="10"/>
        <v>1</v>
      </c>
    </row>
    <row r="108" spans="1:16" x14ac:dyDescent="0.4">
      <c r="A108" s="9" t="s">
        <v>12</v>
      </c>
      <c r="B108" s="11">
        <v>3786.306</v>
      </c>
      <c r="D108" s="10"/>
      <c r="E108" s="10">
        <v>26614.992999999999</v>
      </c>
      <c r="F108" s="10">
        <f t="shared" si="6"/>
        <v>0.37863059999999998</v>
      </c>
      <c r="G108" s="10"/>
      <c r="H108" s="10"/>
      <c r="I108" s="10">
        <f t="shared" si="11"/>
        <v>2.6614993</v>
      </c>
      <c r="J108" s="9">
        <v>137.84080000000006</v>
      </c>
      <c r="K108" s="9">
        <v>141</v>
      </c>
      <c r="M108" s="9">
        <f t="shared" si="7"/>
        <v>1</v>
      </c>
      <c r="N108" s="9">
        <f t="shared" si="8"/>
        <v>1</v>
      </c>
      <c r="O108" s="9">
        <f t="shared" si="9"/>
        <v>1</v>
      </c>
      <c r="P108" s="9">
        <f t="shared" si="10"/>
        <v>1</v>
      </c>
    </row>
    <row r="109" spans="1:16" x14ac:dyDescent="0.4">
      <c r="A109" s="9" t="s">
        <v>12</v>
      </c>
      <c r="B109" s="11">
        <v>3786.306</v>
      </c>
      <c r="D109" s="10"/>
      <c r="E109" s="10">
        <v>26614.992999999999</v>
      </c>
      <c r="F109" s="10">
        <f t="shared" si="6"/>
        <v>0.37863059999999998</v>
      </c>
      <c r="G109" s="10"/>
      <c r="H109" s="10"/>
      <c r="I109" s="10">
        <f t="shared" si="11"/>
        <v>2.6614993</v>
      </c>
      <c r="J109" s="9">
        <v>137.84080000000006</v>
      </c>
      <c r="K109" s="9">
        <v>141.5</v>
      </c>
      <c r="M109" s="9">
        <f t="shared" si="7"/>
        <v>1</v>
      </c>
      <c r="N109" s="9">
        <f t="shared" si="8"/>
        <v>1</v>
      </c>
      <c r="O109" s="9">
        <f t="shared" si="9"/>
        <v>1</v>
      </c>
      <c r="P109" s="9">
        <f t="shared" si="10"/>
        <v>1</v>
      </c>
    </row>
    <row r="110" spans="1:16" x14ac:dyDescent="0.4">
      <c r="A110" s="9" t="s">
        <v>12</v>
      </c>
      <c r="B110" s="11">
        <v>3786.306</v>
      </c>
      <c r="D110" s="10"/>
      <c r="E110" s="10">
        <v>26614.992999999999</v>
      </c>
      <c r="F110" s="10">
        <f t="shared" si="6"/>
        <v>0.37863059999999998</v>
      </c>
      <c r="G110" s="10"/>
      <c r="H110" s="10"/>
      <c r="I110" s="10">
        <f t="shared" si="11"/>
        <v>2.6614993</v>
      </c>
      <c r="J110" s="9">
        <v>137.84080000000006</v>
      </c>
      <c r="K110" s="9">
        <v>142</v>
      </c>
      <c r="M110" s="9">
        <f t="shared" si="7"/>
        <v>1</v>
      </c>
      <c r="N110" s="9">
        <f t="shared" si="8"/>
        <v>1</v>
      </c>
      <c r="O110" s="9">
        <f t="shared" si="9"/>
        <v>1</v>
      </c>
      <c r="P110" s="9">
        <f t="shared" si="10"/>
        <v>1</v>
      </c>
    </row>
    <row r="111" spans="1:16" x14ac:dyDescent="0.4">
      <c r="A111" s="9" t="s">
        <v>12</v>
      </c>
      <c r="B111" s="11">
        <v>3786.306</v>
      </c>
      <c r="D111" s="10"/>
      <c r="E111" s="10">
        <v>26614.992999999999</v>
      </c>
      <c r="F111" s="10">
        <f t="shared" si="6"/>
        <v>0.37863059999999998</v>
      </c>
      <c r="G111" s="10"/>
      <c r="H111" s="10"/>
      <c r="I111" s="10">
        <f t="shared" si="11"/>
        <v>2.6614993</v>
      </c>
      <c r="J111" s="9">
        <v>138.50755000000004</v>
      </c>
      <c r="K111" s="9">
        <v>142.5</v>
      </c>
      <c r="M111" s="9">
        <f t="shared" si="7"/>
        <v>1</v>
      </c>
      <c r="N111" s="9">
        <f t="shared" si="8"/>
        <v>1</v>
      </c>
      <c r="O111" s="9">
        <f t="shared" si="9"/>
        <v>1</v>
      </c>
      <c r="P111" s="9">
        <f t="shared" si="10"/>
        <v>1</v>
      </c>
    </row>
    <row r="112" spans="1:16" x14ac:dyDescent="0.4">
      <c r="A112" s="9" t="s">
        <v>12</v>
      </c>
      <c r="B112" s="11">
        <v>3783.3560000000002</v>
      </c>
      <c r="D112" s="10"/>
      <c r="E112" s="10">
        <v>26618.637999999999</v>
      </c>
      <c r="F112" s="10">
        <f t="shared" si="6"/>
        <v>0.37833560000000005</v>
      </c>
      <c r="G112" s="10"/>
      <c r="H112" s="10"/>
      <c r="I112" s="10">
        <f t="shared" si="11"/>
        <v>2.6618637999999999</v>
      </c>
      <c r="J112" s="9">
        <v>143.84113333333335</v>
      </c>
      <c r="K112" s="9">
        <v>144</v>
      </c>
      <c r="M112" s="9">
        <f t="shared" si="7"/>
        <v>1</v>
      </c>
      <c r="N112" s="9">
        <f t="shared" si="8"/>
        <v>1</v>
      </c>
      <c r="O112" s="9">
        <f t="shared" si="9"/>
        <v>1</v>
      </c>
      <c r="P112" s="9">
        <f t="shared" si="10"/>
        <v>1</v>
      </c>
    </row>
    <row r="113" spans="1:16" x14ac:dyDescent="0.4">
      <c r="A113" s="9" t="s">
        <v>12</v>
      </c>
      <c r="B113" s="11">
        <v>3786.893</v>
      </c>
      <c r="D113" s="10"/>
      <c r="E113" s="10">
        <v>26614.260999999999</v>
      </c>
      <c r="F113" s="10">
        <f t="shared" si="6"/>
        <v>0.37868930000000001</v>
      </c>
      <c r="G113" s="10"/>
      <c r="H113" s="10"/>
      <c r="I113" s="10">
        <f t="shared" si="11"/>
        <v>2.6614260999999999</v>
      </c>
      <c r="J113" s="9">
        <v>144.00779999999997</v>
      </c>
      <c r="K113" s="9">
        <v>144.5</v>
      </c>
      <c r="M113" s="9">
        <f t="shared" si="7"/>
        <v>1</v>
      </c>
      <c r="N113" s="9">
        <f t="shared" si="8"/>
        <v>1</v>
      </c>
      <c r="O113" s="9">
        <f t="shared" si="9"/>
        <v>1</v>
      </c>
      <c r="P113" s="9">
        <f t="shared" si="10"/>
        <v>1</v>
      </c>
    </row>
    <row r="114" spans="1:16" x14ac:dyDescent="0.4">
      <c r="A114" s="9" t="s">
        <v>12</v>
      </c>
      <c r="B114" s="11">
        <v>3706.8870000000002</v>
      </c>
      <c r="D114" s="10"/>
      <c r="E114" s="10">
        <v>26634.985000000001</v>
      </c>
      <c r="F114" s="10">
        <f t="shared" si="6"/>
        <v>0.37068870000000004</v>
      </c>
      <c r="G114" s="10"/>
      <c r="H114" s="10"/>
      <c r="I114" s="10">
        <f t="shared" si="11"/>
        <v>2.6634985000000002</v>
      </c>
      <c r="J114" s="9">
        <v>150.84146666666663</v>
      </c>
      <c r="K114" s="9">
        <v>151</v>
      </c>
      <c r="M114" s="9">
        <f t="shared" si="7"/>
        <v>1</v>
      </c>
      <c r="N114" s="9">
        <f t="shared" si="8"/>
        <v>1</v>
      </c>
      <c r="O114" s="9">
        <f t="shared" si="9"/>
        <v>1</v>
      </c>
      <c r="P114" s="9">
        <f t="shared" si="10"/>
        <v>1</v>
      </c>
    </row>
    <row r="115" spans="1:16" x14ac:dyDescent="0.4">
      <c r="A115" s="9" t="s">
        <v>12</v>
      </c>
      <c r="B115" s="11">
        <v>3716.96</v>
      </c>
      <c r="D115" s="10"/>
      <c r="E115" s="10">
        <v>26522.184000000001</v>
      </c>
      <c r="F115" s="10">
        <f t="shared" si="6"/>
        <v>0.37169600000000003</v>
      </c>
      <c r="G115" s="10"/>
      <c r="H115" s="10"/>
      <c r="I115" s="10">
        <f t="shared" si="11"/>
        <v>2.6522184000000002</v>
      </c>
      <c r="J115" s="9">
        <v>154.6750833333333</v>
      </c>
      <c r="K115" s="9">
        <v>155</v>
      </c>
      <c r="M115" s="9">
        <f t="shared" si="7"/>
        <v>1</v>
      </c>
      <c r="N115" s="9">
        <f t="shared" si="8"/>
        <v>1</v>
      </c>
      <c r="O115" s="9">
        <f t="shared" si="9"/>
        <v>1</v>
      </c>
      <c r="P115" s="9">
        <f t="shared" si="10"/>
        <v>1</v>
      </c>
    </row>
    <row r="116" spans="1:16" x14ac:dyDescent="0.4">
      <c r="A116" s="9" t="s">
        <v>12</v>
      </c>
      <c r="B116" s="11">
        <v>3772.4409999999998</v>
      </c>
      <c r="D116" s="10"/>
      <c r="E116" s="10">
        <v>26596.86</v>
      </c>
      <c r="F116" s="10">
        <f t="shared" si="6"/>
        <v>0.37724409999999997</v>
      </c>
      <c r="G116" s="10"/>
      <c r="H116" s="10"/>
      <c r="I116" s="10">
        <f t="shared" si="11"/>
        <v>2.6596860000000002</v>
      </c>
      <c r="J116" s="9">
        <v>154.8416666666667</v>
      </c>
      <c r="K116" s="9">
        <v>155.5</v>
      </c>
      <c r="M116" s="9">
        <f t="shared" si="7"/>
        <v>1</v>
      </c>
      <c r="N116" s="9">
        <f t="shared" si="8"/>
        <v>1</v>
      </c>
      <c r="O116" s="9">
        <f t="shared" si="9"/>
        <v>1</v>
      </c>
      <c r="P116" s="9">
        <f t="shared" si="10"/>
        <v>1</v>
      </c>
    </row>
    <row r="117" spans="1:16" x14ac:dyDescent="0.4">
      <c r="A117" s="9" t="s">
        <v>12</v>
      </c>
      <c r="B117" s="11">
        <v>3787.2669999999998</v>
      </c>
      <c r="D117" s="10"/>
      <c r="E117" s="10">
        <v>26616.814999999999</v>
      </c>
      <c r="F117" s="10">
        <f t="shared" si="6"/>
        <v>0.37872669999999997</v>
      </c>
      <c r="G117" s="10"/>
      <c r="H117" s="10"/>
      <c r="I117" s="10">
        <f t="shared" si="11"/>
        <v>2.6616814999999998</v>
      </c>
      <c r="J117" s="9">
        <v>155.00833333333333</v>
      </c>
      <c r="K117" s="9">
        <v>156</v>
      </c>
      <c r="M117" s="9">
        <f t="shared" si="7"/>
        <v>1</v>
      </c>
      <c r="N117" s="9">
        <f t="shared" si="8"/>
        <v>1</v>
      </c>
      <c r="O117" s="9">
        <f t="shared" si="9"/>
        <v>1</v>
      </c>
      <c r="P117" s="9">
        <f t="shared" si="10"/>
        <v>1</v>
      </c>
    </row>
    <row r="118" spans="1:16" x14ac:dyDescent="0.4">
      <c r="A118" s="9" t="s">
        <v>12</v>
      </c>
      <c r="B118" s="11">
        <v>3785.1010000000001</v>
      </c>
      <c r="D118" s="10"/>
      <c r="E118" s="10">
        <v>26613.9</v>
      </c>
      <c r="F118" s="10">
        <f t="shared" si="6"/>
        <v>0.37851010000000002</v>
      </c>
      <c r="G118" s="10"/>
      <c r="H118" s="10"/>
      <c r="I118" s="10">
        <f t="shared" si="11"/>
        <v>2.6613900000000004</v>
      </c>
      <c r="J118" s="9">
        <v>155.00841666666668</v>
      </c>
      <c r="K118" s="9">
        <v>156.5</v>
      </c>
      <c r="M118" s="9">
        <f t="shared" si="7"/>
        <v>1</v>
      </c>
      <c r="N118" s="9">
        <f t="shared" si="8"/>
        <v>1</v>
      </c>
      <c r="O118" s="9">
        <f t="shared" si="9"/>
        <v>1</v>
      </c>
      <c r="P118" s="9">
        <f t="shared" si="10"/>
        <v>1</v>
      </c>
    </row>
    <row r="119" spans="1:16" x14ac:dyDescent="0.4">
      <c r="A119" s="9" t="s">
        <v>12</v>
      </c>
      <c r="B119" s="11">
        <v>3782.05</v>
      </c>
      <c r="D119" s="10"/>
      <c r="E119" s="10">
        <v>26605.800999999999</v>
      </c>
      <c r="F119" s="10">
        <f t="shared" si="6"/>
        <v>0.37820500000000001</v>
      </c>
      <c r="G119" s="10"/>
      <c r="H119" s="10"/>
      <c r="I119" s="10">
        <f t="shared" si="11"/>
        <v>2.6605800999999998</v>
      </c>
      <c r="J119" s="9">
        <v>225.84548333333328</v>
      </c>
      <c r="K119" s="9">
        <v>226</v>
      </c>
      <c r="M119" s="9">
        <f t="shared" si="7"/>
        <v>1</v>
      </c>
      <c r="N119" s="9">
        <f t="shared" si="8"/>
        <v>1</v>
      </c>
      <c r="O119" s="9">
        <f t="shared" si="9"/>
        <v>1</v>
      </c>
      <c r="P119" s="9">
        <f t="shared" si="10"/>
        <v>1</v>
      </c>
    </row>
    <row r="120" spans="1:16" x14ac:dyDescent="0.4">
      <c r="A120" s="9" t="s">
        <v>12</v>
      </c>
      <c r="B120" s="11">
        <v>3732.05</v>
      </c>
      <c r="D120" s="10"/>
      <c r="E120" s="10">
        <v>26566.699000000001</v>
      </c>
      <c r="F120" s="10">
        <f t="shared" si="6"/>
        <v>0.37320500000000001</v>
      </c>
      <c r="G120" s="10"/>
      <c r="H120" s="10"/>
      <c r="I120" s="10">
        <f t="shared" si="11"/>
        <v>2.6566699000000003</v>
      </c>
      <c r="J120" s="9">
        <v>225.84548333333328</v>
      </c>
      <c r="K120" s="9">
        <v>226.5</v>
      </c>
      <c r="M120" s="9">
        <f t="shared" si="7"/>
        <v>1</v>
      </c>
      <c r="N120" s="9">
        <f t="shared" si="8"/>
        <v>1</v>
      </c>
      <c r="O120" s="9">
        <f t="shared" si="9"/>
        <v>1</v>
      </c>
      <c r="P120" s="9">
        <f t="shared" si="10"/>
        <v>1</v>
      </c>
    </row>
    <row r="121" spans="1:16" x14ac:dyDescent="0.4">
      <c r="A121" s="9" t="s">
        <v>10</v>
      </c>
      <c r="B121" s="10">
        <v>18248.599999999999</v>
      </c>
      <c r="C121" s="10">
        <v>22497.1</v>
      </c>
      <c r="D121" s="10"/>
      <c r="E121" s="10"/>
      <c r="F121" s="10">
        <f t="shared" si="6"/>
        <v>1.8248599999999999</v>
      </c>
      <c r="G121" s="10">
        <f>IF(C121&lt;&gt;0,C121*N121/10000)</f>
        <v>2.2497099999999999</v>
      </c>
      <c r="H121" s="10"/>
      <c r="I121" s="10"/>
      <c r="J121" s="9">
        <v>238.51268333333337</v>
      </c>
      <c r="K121" s="9">
        <v>239</v>
      </c>
      <c r="M121" s="9">
        <f t="shared" si="7"/>
        <v>1</v>
      </c>
      <c r="N121" s="9">
        <f t="shared" si="8"/>
        <v>1</v>
      </c>
      <c r="O121" s="9">
        <f t="shared" si="9"/>
        <v>1</v>
      </c>
      <c r="P121" s="9">
        <f t="shared" si="10"/>
        <v>1</v>
      </c>
    </row>
    <row r="122" spans="1:16" x14ac:dyDescent="0.4">
      <c r="A122" s="9" t="s">
        <v>13</v>
      </c>
      <c r="B122" s="11">
        <v>1795.652</v>
      </c>
      <c r="C122" s="10"/>
      <c r="D122" s="10">
        <v>23898.12</v>
      </c>
      <c r="E122" s="10"/>
      <c r="F122" s="10">
        <f t="shared" si="6"/>
        <v>0.17956520000000001</v>
      </c>
      <c r="G122" s="10"/>
      <c r="H122" s="10">
        <f>IF(D122&lt;&gt;0,D122*O122/10000)</f>
        <v>2.389812</v>
      </c>
      <c r="I122" s="10"/>
      <c r="J122" s="9">
        <v>240.52061666666668</v>
      </c>
      <c r="K122" s="9">
        <v>241</v>
      </c>
      <c r="M122" s="9">
        <f t="shared" si="7"/>
        <v>1</v>
      </c>
      <c r="N122" s="9">
        <f t="shared" si="8"/>
        <v>1</v>
      </c>
      <c r="O122" s="9">
        <f t="shared" si="9"/>
        <v>1</v>
      </c>
      <c r="P122" s="9">
        <f t="shared" si="10"/>
        <v>1</v>
      </c>
    </row>
    <row r="123" spans="1:16" x14ac:dyDescent="0.4">
      <c r="A123" s="9" t="s">
        <v>12</v>
      </c>
      <c r="B123" s="11">
        <v>3798.0169999999998</v>
      </c>
      <c r="D123" s="10"/>
      <c r="E123" s="10">
        <v>26588.594000000001</v>
      </c>
      <c r="F123" s="10">
        <f t="shared" si="6"/>
        <v>0.37980169999999996</v>
      </c>
      <c r="G123" s="10"/>
      <c r="H123" s="10"/>
      <c r="I123" s="10">
        <f t="shared" si="11"/>
        <v>2.6588594000000003</v>
      </c>
      <c r="J123" s="9">
        <v>244.67959999999994</v>
      </c>
      <c r="K123" s="9">
        <v>245</v>
      </c>
      <c r="M123" s="9">
        <f t="shared" si="7"/>
        <v>1</v>
      </c>
      <c r="N123" s="9">
        <f t="shared" si="8"/>
        <v>1</v>
      </c>
      <c r="O123" s="9">
        <f t="shared" si="9"/>
        <v>1</v>
      </c>
      <c r="P123" s="9">
        <f t="shared" si="10"/>
        <v>1</v>
      </c>
    </row>
    <row r="124" spans="1:16" x14ac:dyDescent="0.4">
      <c r="A124" s="9" t="s">
        <v>10</v>
      </c>
      <c r="B124" s="10">
        <v>50093.699000000001</v>
      </c>
      <c r="C124" s="10">
        <v>24907.827000000001</v>
      </c>
      <c r="D124" s="10"/>
      <c r="E124" s="10"/>
      <c r="F124" s="10">
        <f t="shared" si="6"/>
        <v>5.0093699000000003</v>
      </c>
      <c r="G124" s="10">
        <f>IF(C124&lt;&gt;0,C124*N124/10000)</f>
        <v>2.4907827</v>
      </c>
      <c r="H124" s="10"/>
      <c r="I124" s="10"/>
      <c r="J124" s="9">
        <v>266.37495000000001</v>
      </c>
      <c r="K124" s="9">
        <v>266.5</v>
      </c>
      <c r="M124" s="9">
        <f t="shared" si="7"/>
        <v>1</v>
      </c>
      <c r="N124" s="9">
        <f t="shared" si="8"/>
        <v>1</v>
      </c>
      <c r="O124" s="9">
        <f t="shared" si="9"/>
        <v>1</v>
      </c>
      <c r="P124" s="9">
        <f t="shared" si="10"/>
        <v>1</v>
      </c>
    </row>
    <row r="125" spans="1:16" x14ac:dyDescent="0.4">
      <c r="A125" s="9" t="s">
        <v>10</v>
      </c>
      <c r="B125" s="10">
        <v>51257.601999999999</v>
      </c>
      <c r="C125" s="10">
        <v>23281.989000000001</v>
      </c>
      <c r="D125" s="10"/>
      <c r="E125" s="10"/>
      <c r="F125" s="10">
        <f t="shared" si="6"/>
        <v>5.1257602000000002</v>
      </c>
      <c r="G125" s="10">
        <f>IF(C125&lt;&gt;0,C125*N125/10000)</f>
        <v>2.3281989000000003</v>
      </c>
      <c r="H125" s="10"/>
      <c r="I125" s="10"/>
      <c r="J125" s="9">
        <v>266.54161666666676</v>
      </c>
      <c r="K125" s="9">
        <v>267</v>
      </c>
      <c r="M125" s="9">
        <f t="shared" si="7"/>
        <v>1</v>
      </c>
      <c r="N125" s="9">
        <f t="shared" si="8"/>
        <v>1</v>
      </c>
      <c r="O125" s="9">
        <f t="shared" si="9"/>
        <v>1</v>
      </c>
      <c r="P125" s="9">
        <f t="shared" si="10"/>
        <v>1</v>
      </c>
    </row>
    <row r="126" spans="1:16" x14ac:dyDescent="0.4">
      <c r="A126" s="9" t="s">
        <v>10</v>
      </c>
      <c r="B126" s="10">
        <v>18234.138999999999</v>
      </c>
      <c r="C126" s="10">
        <v>19945.028999999999</v>
      </c>
      <c r="D126" s="10"/>
      <c r="E126" s="10"/>
      <c r="F126" s="10">
        <f t="shared" si="6"/>
        <v>1.8234139</v>
      </c>
      <c r="G126" s="10">
        <f>IF(C126&lt;&gt;0,C126*N126/10000)</f>
        <v>1.9945028999999999</v>
      </c>
      <c r="H126" s="10"/>
      <c r="I126" s="10"/>
      <c r="J126" s="9">
        <v>269.37513333333334</v>
      </c>
      <c r="K126" s="9">
        <v>269.5</v>
      </c>
      <c r="M126" s="9">
        <f t="shared" si="7"/>
        <v>1</v>
      </c>
      <c r="N126" s="9">
        <f t="shared" si="8"/>
        <v>1</v>
      </c>
      <c r="O126" s="9">
        <f t="shared" si="9"/>
        <v>1</v>
      </c>
      <c r="P126" s="9">
        <f t="shared" si="10"/>
        <v>1</v>
      </c>
    </row>
    <row r="127" spans="1:16" x14ac:dyDescent="0.4">
      <c r="A127" s="9" t="s">
        <v>10</v>
      </c>
      <c r="B127" s="10">
        <v>18234.138999999999</v>
      </c>
      <c r="C127" s="10">
        <v>19945.028999999999</v>
      </c>
      <c r="D127" s="10"/>
      <c r="E127" s="10"/>
      <c r="F127" s="10">
        <f t="shared" si="6"/>
        <v>1.8234139</v>
      </c>
      <c r="G127" s="10">
        <f>IF(C127&lt;&gt;0,C127*N127/10000)</f>
        <v>1.9945028999999999</v>
      </c>
      <c r="H127" s="10"/>
      <c r="I127" s="10"/>
      <c r="J127" s="9">
        <v>269.37513333333334</v>
      </c>
      <c r="K127" s="9">
        <v>270</v>
      </c>
      <c r="M127" s="9">
        <f t="shared" si="7"/>
        <v>1</v>
      </c>
      <c r="N127" s="9">
        <f t="shared" si="8"/>
        <v>1</v>
      </c>
      <c r="O127" s="9">
        <f t="shared" si="9"/>
        <v>1</v>
      </c>
      <c r="P127" s="9">
        <f t="shared" si="10"/>
        <v>1</v>
      </c>
    </row>
    <row r="128" spans="1:16" x14ac:dyDescent="0.4">
      <c r="A128" s="9" t="s">
        <v>10</v>
      </c>
      <c r="B128" s="10">
        <v>18234.138999999999</v>
      </c>
      <c r="C128" s="10">
        <v>19945.028999999999</v>
      </c>
      <c r="D128" s="10"/>
      <c r="E128" s="10"/>
      <c r="F128" s="10">
        <f t="shared" si="6"/>
        <v>1.8234139</v>
      </c>
      <c r="G128" s="10">
        <f>IF(C128&lt;&gt;0,C128*N128/10000)</f>
        <v>1.9945028999999999</v>
      </c>
      <c r="H128" s="10"/>
      <c r="I128" s="10"/>
      <c r="J128" s="9">
        <v>269.37513333333334</v>
      </c>
      <c r="K128" s="9">
        <v>270.5</v>
      </c>
      <c r="M128" s="9">
        <f t="shared" si="7"/>
        <v>1</v>
      </c>
      <c r="N128" s="9">
        <f t="shared" si="8"/>
        <v>1</v>
      </c>
      <c r="O128" s="9">
        <f t="shared" si="9"/>
        <v>1</v>
      </c>
      <c r="P128" s="9">
        <f t="shared" si="10"/>
        <v>1</v>
      </c>
    </row>
    <row r="129" spans="1:16" x14ac:dyDescent="0.4">
      <c r="A129" s="9" t="s">
        <v>11</v>
      </c>
      <c r="B129" s="11">
        <v>2483.9070000000002</v>
      </c>
      <c r="C129" s="10"/>
      <c r="D129" s="10">
        <v>24133.794000000002</v>
      </c>
      <c r="E129" s="10"/>
      <c r="F129" s="10">
        <f t="shared" si="6"/>
        <v>0.24839070000000002</v>
      </c>
      <c r="G129" s="10"/>
      <c r="H129" s="10">
        <f>IF(D129&lt;&gt;0,D129*O129/10000)</f>
        <v>2.4133794000000002</v>
      </c>
      <c r="I129" s="10"/>
      <c r="J129" s="9">
        <v>272.95320000000004</v>
      </c>
      <c r="K129" s="9">
        <v>273</v>
      </c>
      <c r="M129" s="9">
        <f t="shared" si="7"/>
        <v>1</v>
      </c>
      <c r="N129" s="9">
        <f t="shared" si="8"/>
        <v>1</v>
      </c>
      <c r="O129" s="9">
        <f t="shared" si="9"/>
        <v>1</v>
      </c>
      <c r="P129" s="9">
        <f t="shared" si="10"/>
        <v>1</v>
      </c>
    </row>
    <row r="130" spans="1:16" x14ac:dyDescent="0.4">
      <c r="A130" s="9" t="s">
        <v>11</v>
      </c>
      <c r="B130" s="11">
        <v>1310.527</v>
      </c>
      <c r="C130" s="10"/>
      <c r="D130" s="10">
        <v>24030.191999999999</v>
      </c>
      <c r="E130" s="10"/>
      <c r="F130" s="10">
        <f t="shared" si="6"/>
        <v>0.13105269999999999</v>
      </c>
      <c r="G130" s="10"/>
      <c r="H130" s="10">
        <f>IF(D130&lt;&gt;0,D130*O130/10000)</f>
        <v>2.4030191999999997</v>
      </c>
      <c r="I130" s="10"/>
      <c r="J130" s="9">
        <v>272.98428333333334</v>
      </c>
      <c r="K130" s="9">
        <v>273.5</v>
      </c>
      <c r="M130" s="9">
        <f t="shared" si="7"/>
        <v>1</v>
      </c>
      <c r="N130" s="9">
        <f t="shared" si="8"/>
        <v>1</v>
      </c>
      <c r="O130" s="9">
        <f t="shared" si="9"/>
        <v>1</v>
      </c>
      <c r="P130" s="9">
        <f t="shared" si="10"/>
        <v>1</v>
      </c>
    </row>
    <row r="131" spans="1:16" x14ac:dyDescent="0.4">
      <c r="A131" s="9" t="s">
        <v>11</v>
      </c>
      <c r="B131" s="11">
        <v>16194.255999999999</v>
      </c>
      <c r="C131" s="10"/>
      <c r="D131" s="10">
        <v>22857.175999999999</v>
      </c>
      <c r="E131" s="10"/>
      <c r="F131" s="10">
        <f t="shared" si="6"/>
        <v>1.6194256</v>
      </c>
      <c r="G131" s="10"/>
      <c r="H131" s="10">
        <f>IF(D131&lt;&gt;0,D131*O131/10000)</f>
        <v>2.2857175999999999</v>
      </c>
      <c r="I131" s="10"/>
      <c r="J131" s="9">
        <v>277.64766666666674</v>
      </c>
      <c r="K131" s="9">
        <v>278</v>
      </c>
      <c r="M131" s="9">
        <f t="shared" si="7"/>
        <v>1</v>
      </c>
      <c r="N131" s="9">
        <f t="shared" si="8"/>
        <v>1</v>
      </c>
      <c r="O131" s="9">
        <f t="shared" si="9"/>
        <v>1</v>
      </c>
      <c r="P131" s="9">
        <f t="shared" si="10"/>
        <v>1</v>
      </c>
    </row>
    <row r="132" spans="1:16" x14ac:dyDescent="0.4">
      <c r="A132" s="9" t="s">
        <v>10</v>
      </c>
      <c r="B132" s="10">
        <v>18075.511999999999</v>
      </c>
      <c r="C132" s="10">
        <v>22736.353999999999</v>
      </c>
      <c r="D132" s="10"/>
      <c r="E132" s="10"/>
      <c r="F132" s="10">
        <f t="shared" ref="F132:F195" si="12">B132*M132/10000</f>
        <v>1.8075511999999998</v>
      </c>
      <c r="G132" s="10">
        <f>IF(C132&lt;&gt;0,C132*N132/10000)</f>
        <v>2.2736353999999999</v>
      </c>
      <c r="H132" s="10"/>
      <c r="I132" s="10"/>
      <c r="J132" s="9">
        <v>284.87848333333341</v>
      </c>
      <c r="K132" s="9">
        <v>285</v>
      </c>
      <c r="M132" s="9">
        <f t="shared" ref="M132:M195" si="13">IF(K132&gt;=J132,1,0)</f>
        <v>1</v>
      </c>
      <c r="N132" s="9">
        <f t="shared" ref="N132:N195" si="14">IF(K132&gt;=J132,1,0)</f>
        <v>1</v>
      </c>
      <c r="O132" s="9">
        <f t="shared" ref="O132:O195" si="15">IF(K132&gt;=J132,1,0)</f>
        <v>1</v>
      </c>
      <c r="P132" s="9">
        <f t="shared" ref="P132:P195" si="16">IF(K132&gt;=J132,1,0)</f>
        <v>1</v>
      </c>
    </row>
    <row r="133" spans="1:16" x14ac:dyDescent="0.4">
      <c r="A133" s="9" t="s">
        <v>10</v>
      </c>
      <c r="B133" s="10">
        <v>17430.599999999999</v>
      </c>
      <c r="C133" s="10">
        <v>23015.300999999999</v>
      </c>
      <c r="D133" s="10"/>
      <c r="E133" s="10"/>
      <c r="F133" s="10">
        <f t="shared" si="12"/>
        <v>1.7430599999999998</v>
      </c>
      <c r="G133" s="10">
        <f>IF(C133&lt;&gt;0,C133*N133/10000)</f>
        <v>2.3015300999999999</v>
      </c>
      <c r="H133" s="10"/>
      <c r="I133" s="10"/>
      <c r="J133" s="9">
        <v>285.04515000000004</v>
      </c>
      <c r="K133" s="9">
        <v>285.5</v>
      </c>
      <c r="M133" s="9">
        <f t="shared" si="13"/>
        <v>1</v>
      </c>
      <c r="N133" s="9">
        <f t="shared" si="14"/>
        <v>1</v>
      </c>
      <c r="O133" s="9">
        <f t="shared" si="15"/>
        <v>1</v>
      </c>
      <c r="P133" s="9">
        <f t="shared" si="16"/>
        <v>1</v>
      </c>
    </row>
    <row r="134" spans="1:16" x14ac:dyDescent="0.4">
      <c r="A134" s="9" t="s">
        <v>10</v>
      </c>
      <c r="B134" s="10">
        <v>17843.420999999998</v>
      </c>
      <c r="C134" s="10">
        <v>22854.197</v>
      </c>
      <c r="D134" s="10"/>
      <c r="E134" s="10"/>
      <c r="F134" s="10">
        <f t="shared" si="12"/>
        <v>1.7843420999999999</v>
      </c>
      <c r="G134" s="10">
        <f>IF(C134&lt;&gt;0,C134*N134/10000)</f>
        <v>2.2854196999999998</v>
      </c>
      <c r="H134" s="10"/>
      <c r="I134" s="10"/>
      <c r="J134" s="9">
        <v>285.04515000000004</v>
      </c>
      <c r="K134" s="9">
        <v>286</v>
      </c>
      <c r="M134" s="9">
        <f t="shared" si="13"/>
        <v>1</v>
      </c>
      <c r="N134" s="9">
        <f t="shared" si="14"/>
        <v>1</v>
      </c>
      <c r="O134" s="9">
        <f t="shared" si="15"/>
        <v>1</v>
      </c>
      <c r="P134" s="9">
        <f t="shared" si="16"/>
        <v>1</v>
      </c>
    </row>
    <row r="135" spans="1:16" x14ac:dyDescent="0.4">
      <c r="A135" s="9" t="s">
        <v>13</v>
      </c>
      <c r="B135" s="11">
        <v>3757.241</v>
      </c>
      <c r="D135" s="10"/>
      <c r="E135" s="10">
        <v>26609.574000000001</v>
      </c>
      <c r="F135" s="10">
        <f t="shared" si="12"/>
        <v>0.37572410000000001</v>
      </c>
      <c r="G135" s="10"/>
      <c r="H135" s="10"/>
      <c r="I135" s="10">
        <f>IF(E135&lt;&gt;0,E135*P135/10000)</f>
        <v>2.6609574</v>
      </c>
      <c r="J135" s="9">
        <v>286.45473333333337</v>
      </c>
      <c r="K135" s="9">
        <v>286.5</v>
      </c>
      <c r="M135" s="9">
        <f t="shared" si="13"/>
        <v>1</v>
      </c>
      <c r="N135" s="9">
        <f t="shared" si="14"/>
        <v>1</v>
      </c>
      <c r="O135" s="9">
        <f t="shared" si="15"/>
        <v>1</v>
      </c>
      <c r="P135" s="9">
        <f t="shared" si="16"/>
        <v>1</v>
      </c>
    </row>
    <row r="136" spans="1:16" x14ac:dyDescent="0.4">
      <c r="A136" s="9" t="s">
        <v>13</v>
      </c>
      <c r="B136" s="11">
        <v>3060.2640000000001</v>
      </c>
      <c r="C136" s="10"/>
      <c r="D136" s="10">
        <v>26205.363000000001</v>
      </c>
      <c r="E136" s="10"/>
      <c r="F136" s="10">
        <f t="shared" si="12"/>
        <v>0.30602640000000003</v>
      </c>
      <c r="G136" s="10"/>
      <c r="H136" s="10">
        <f>IF(D136&lt;&gt;0,D136*O136/10000)</f>
        <v>2.6205362999999999</v>
      </c>
      <c r="I136" s="10"/>
      <c r="J136" s="9">
        <v>286.6640000000001</v>
      </c>
      <c r="K136" s="9">
        <v>287</v>
      </c>
      <c r="M136" s="9">
        <f t="shared" si="13"/>
        <v>1</v>
      </c>
      <c r="N136" s="9">
        <f t="shared" si="14"/>
        <v>1</v>
      </c>
      <c r="O136" s="9">
        <f t="shared" si="15"/>
        <v>1</v>
      </c>
      <c r="P136" s="9">
        <f t="shared" si="16"/>
        <v>1</v>
      </c>
    </row>
    <row r="137" spans="1:16" x14ac:dyDescent="0.4">
      <c r="A137" s="9" t="s">
        <v>13</v>
      </c>
      <c r="B137" s="11">
        <v>2483.3200000000002</v>
      </c>
      <c r="C137" s="10"/>
      <c r="D137" s="10">
        <v>26120.400000000001</v>
      </c>
      <c r="E137" s="10"/>
      <c r="F137" s="10">
        <f t="shared" si="12"/>
        <v>0.24833200000000002</v>
      </c>
      <c r="G137" s="10"/>
      <c r="H137" s="10">
        <f>IF(D137&lt;&gt;0,D137*O137/10000)</f>
        <v>2.6120400000000004</v>
      </c>
      <c r="I137" s="10"/>
      <c r="J137" s="9">
        <v>286.70254999999997</v>
      </c>
      <c r="K137" s="9">
        <v>287.5</v>
      </c>
      <c r="M137" s="9">
        <f t="shared" si="13"/>
        <v>1</v>
      </c>
      <c r="N137" s="9">
        <f t="shared" si="14"/>
        <v>1</v>
      </c>
      <c r="O137" s="9">
        <f t="shared" si="15"/>
        <v>1</v>
      </c>
      <c r="P137" s="9">
        <f t="shared" si="16"/>
        <v>1</v>
      </c>
    </row>
    <row r="138" spans="1:16" x14ac:dyDescent="0.4">
      <c r="A138" s="9" t="s">
        <v>10</v>
      </c>
      <c r="B138" s="10">
        <v>11518.374</v>
      </c>
      <c r="C138" s="10">
        <v>23011.446</v>
      </c>
      <c r="D138" s="10"/>
      <c r="E138" s="10"/>
      <c r="F138" s="10">
        <f t="shared" si="12"/>
        <v>1.1518374</v>
      </c>
      <c r="G138" s="10">
        <f>IF(C138&lt;&gt;0,C138*N138/10000)</f>
        <v>2.3011446000000002</v>
      </c>
      <c r="H138" s="10"/>
      <c r="I138" s="10"/>
      <c r="J138" s="9">
        <v>288.54534999999998</v>
      </c>
      <c r="K138" s="9">
        <v>289</v>
      </c>
      <c r="M138" s="9">
        <f t="shared" si="13"/>
        <v>1</v>
      </c>
      <c r="N138" s="9">
        <f t="shared" si="14"/>
        <v>1</v>
      </c>
      <c r="O138" s="9">
        <f t="shared" si="15"/>
        <v>1</v>
      </c>
      <c r="P138" s="9">
        <f t="shared" si="16"/>
        <v>1</v>
      </c>
    </row>
    <row r="139" spans="1:16" x14ac:dyDescent="0.4">
      <c r="A139" s="9" t="s">
        <v>10</v>
      </c>
      <c r="B139" s="10">
        <v>17843.420999999998</v>
      </c>
      <c r="C139" s="10">
        <v>22854.197</v>
      </c>
      <c r="D139" s="10"/>
      <c r="E139" s="10"/>
      <c r="F139" s="10">
        <f t="shared" si="12"/>
        <v>1.7843420999999999</v>
      </c>
      <c r="G139" s="10">
        <f>IF(C139&lt;&gt;0,C139*N139/10000)</f>
        <v>2.2854196999999998</v>
      </c>
      <c r="H139" s="10"/>
      <c r="I139" s="10"/>
      <c r="J139" s="9">
        <v>288.71201666666661</v>
      </c>
      <c r="K139" s="9">
        <v>289.5</v>
      </c>
      <c r="M139" s="9">
        <f t="shared" si="13"/>
        <v>1</v>
      </c>
      <c r="N139" s="9">
        <f t="shared" si="14"/>
        <v>1</v>
      </c>
      <c r="O139" s="9">
        <f t="shared" si="15"/>
        <v>1</v>
      </c>
      <c r="P139" s="9">
        <f t="shared" si="16"/>
        <v>1</v>
      </c>
    </row>
    <row r="140" spans="1:16" x14ac:dyDescent="0.4">
      <c r="A140" s="9" t="s">
        <v>10</v>
      </c>
      <c r="B140" s="10">
        <v>2926.4760000000001</v>
      </c>
      <c r="C140" s="10">
        <v>24919.162</v>
      </c>
      <c r="D140" s="10"/>
      <c r="E140" s="10"/>
      <c r="F140" s="10">
        <f t="shared" si="12"/>
        <v>0.29264760000000001</v>
      </c>
      <c r="G140" s="10">
        <f>IF(C140&lt;&gt;0,C140*N140/10000)</f>
        <v>2.4919161999999999</v>
      </c>
      <c r="H140" s="10"/>
      <c r="I140" s="10"/>
      <c r="J140" s="9">
        <v>291.71214999999995</v>
      </c>
      <c r="K140" s="9">
        <v>292</v>
      </c>
      <c r="M140" s="9">
        <f t="shared" si="13"/>
        <v>1</v>
      </c>
      <c r="N140" s="9">
        <f t="shared" si="14"/>
        <v>1</v>
      </c>
      <c r="O140" s="9">
        <f t="shared" si="15"/>
        <v>1</v>
      </c>
      <c r="P140" s="9">
        <f t="shared" si="16"/>
        <v>1</v>
      </c>
    </row>
    <row r="141" spans="1:16" x14ac:dyDescent="0.4">
      <c r="A141" s="9" t="s">
        <v>10</v>
      </c>
      <c r="B141" s="10">
        <v>18248.599999999999</v>
      </c>
      <c r="C141" s="10">
        <v>22497.1</v>
      </c>
      <c r="D141" s="10"/>
      <c r="E141" s="10"/>
      <c r="F141" s="10">
        <f t="shared" si="12"/>
        <v>1.8248599999999999</v>
      </c>
      <c r="G141" s="10">
        <f>IF(C141&lt;&gt;0,C141*N141/10000)</f>
        <v>2.2497099999999999</v>
      </c>
      <c r="H141" s="10"/>
      <c r="I141" s="10"/>
      <c r="J141" s="9">
        <v>298.71253333333334</v>
      </c>
      <c r="K141" s="9">
        <v>299</v>
      </c>
      <c r="M141" s="9">
        <f t="shared" si="13"/>
        <v>1</v>
      </c>
      <c r="N141" s="9">
        <f t="shared" si="14"/>
        <v>1</v>
      </c>
      <c r="O141" s="9">
        <f t="shared" si="15"/>
        <v>1</v>
      </c>
      <c r="P141" s="9">
        <f t="shared" si="16"/>
        <v>1</v>
      </c>
    </row>
    <row r="142" spans="1:16" x14ac:dyDescent="0.4">
      <c r="A142" s="9" t="s">
        <v>10</v>
      </c>
      <c r="B142" s="10">
        <v>2926.4760000000001</v>
      </c>
      <c r="C142" s="10">
        <v>24919.162</v>
      </c>
      <c r="D142" s="10"/>
      <c r="E142" s="10"/>
      <c r="F142" s="10">
        <f t="shared" si="12"/>
        <v>0.29264760000000001</v>
      </c>
      <c r="G142" s="10">
        <f>IF(C142&lt;&gt;0,C142*N142/10000)</f>
        <v>2.4919161999999999</v>
      </c>
      <c r="H142" s="10"/>
      <c r="I142" s="10"/>
      <c r="J142" s="9">
        <v>309.87968333333333</v>
      </c>
      <c r="K142" s="9">
        <v>310</v>
      </c>
      <c r="M142" s="9">
        <f t="shared" si="13"/>
        <v>1</v>
      </c>
      <c r="N142" s="9">
        <f t="shared" si="14"/>
        <v>1</v>
      </c>
      <c r="O142" s="9">
        <f t="shared" si="15"/>
        <v>1</v>
      </c>
      <c r="P142" s="9">
        <f t="shared" si="16"/>
        <v>1</v>
      </c>
    </row>
    <row r="143" spans="1:16" x14ac:dyDescent="0.4">
      <c r="A143" s="9" t="s">
        <v>11</v>
      </c>
      <c r="B143" s="11">
        <v>22223.842000000001</v>
      </c>
      <c r="C143" s="10"/>
      <c r="D143" s="10">
        <v>17421.352999999999</v>
      </c>
      <c r="E143" s="10"/>
      <c r="F143" s="10">
        <f t="shared" si="12"/>
        <v>2.2223842</v>
      </c>
      <c r="G143" s="10"/>
      <c r="H143" s="10">
        <f>IF(D143&lt;&gt;0,D143*O143/10000)</f>
        <v>1.7421352999999999</v>
      </c>
      <c r="I143" s="10"/>
      <c r="J143" s="9">
        <v>309.90101666666669</v>
      </c>
      <c r="K143" s="9">
        <v>310.5</v>
      </c>
      <c r="M143" s="9">
        <f t="shared" si="13"/>
        <v>1</v>
      </c>
      <c r="N143" s="9">
        <f t="shared" si="14"/>
        <v>1</v>
      </c>
      <c r="O143" s="9">
        <f t="shared" si="15"/>
        <v>1</v>
      </c>
      <c r="P143" s="9">
        <f t="shared" si="16"/>
        <v>1</v>
      </c>
    </row>
    <row r="144" spans="1:16" x14ac:dyDescent="0.4">
      <c r="A144" s="9" t="s">
        <v>10</v>
      </c>
      <c r="B144" s="10">
        <v>18075.511999999999</v>
      </c>
      <c r="C144" s="10">
        <v>22736.353999999999</v>
      </c>
      <c r="D144" s="10"/>
      <c r="E144" s="10"/>
      <c r="F144" s="10">
        <f t="shared" si="12"/>
        <v>1.8075511999999998</v>
      </c>
      <c r="G144" s="10">
        <f>IF(C144&lt;&gt;0,C144*N144/10000)</f>
        <v>2.2736353999999999</v>
      </c>
      <c r="H144" s="10"/>
      <c r="I144" s="10"/>
      <c r="J144" s="9">
        <v>310.54635000000007</v>
      </c>
      <c r="K144" s="9">
        <v>311</v>
      </c>
      <c r="M144" s="9">
        <f t="shared" si="13"/>
        <v>1</v>
      </c>
      <c r="N144" s="9">
        <f t="shared" si="14"/>
        <v>1</v>
      </c>
      <c r="O144" s="9">
        <f t="shared" si="15"/>
        <v>1</v>
      </c>
      <c r="P144" s="9">
        <f t="shared" si="16"/>
        <v>1</v>
      </c>
    </row>
    <row r="145" spans="1:16" x14ac:dyDescent="0.4">
      <c r="A145" s="9" t="s">
        <v>10</v>
      </c>
      <c r="B145" s="10">
        <v>5597.6549999999997</v>
      </c>
      <c r="C145" s="10">
        <v>25683.802</v>
      </c>
      <c r="D145" s="10"/>
      <c r="E145" s="10"/>
      <c r="F145" s="10">
        <f t="shared" si="12"/>
        <v>0.55976550000000003</v>
      </c>
      <c r="G145" s="10">
        <f>IF(C145&lt;&gt;0,C145*N145/10000)</f>
        <v>2.5683802</v>
      </c>
      <c r="H145" s="10"/>
      <c r="I145" s="10"/>
      <c r="J145" s="9">
        <v>311.7130166666667</v>
      </c>
      <c r="K145" s="9">
        <v>312</v>
      </c>
      <c r="M145" s="9">
        <f t="shared" si="13"/>
        <v>1</v>
      </c>
      <c r="N145" s="9">
        <f t="shared" si="14"/>
        <v>1</v>
      </c>
      <c r="O145" s="9">
        <f t="shared" si="15"/>
        <v>1</v>
      </c>
      <c r="P145" s="9">
        <f t="shared" si="16"/>
        <v>1</v>
      </c>
    </row>
    <row r="146" spans="1:16" x14ac:dyDescent="0.4">
      <c r="A146" s="9" t="s">
        <v>10</v>
      </c>
      <c r="B146" s="10">
        <v>15706.68</v>
      </c>
      <c r="C146" s="10">
        <v>23406.25</v>
      </c>
      <c r="D146" s="10"/>
      <c r="E146" s="10"/>
      <c r="F146" s="10">
        <f t="shared" si="12"/>
        <v>1.570668</v>
      </c>
      <c r="G146" s="10">
        <f>IF(C146&lt;&gt;0,C146*N146/10000)</f>
        <v>2.3406250000000002</v>
      </c>
      <c r="H146" s="10"/>
      <c r="I146" s="10"/>
      <c r="J146" s="9">
        <v>312.21306666666669</v>
      </c>
      <c r="K146" s="9">
        <v>312.5</v>
      </c>
      <c r="M146" s="9">
        <f t="shared" si="13"/>
        <v>1</v>
      </c>
      <c r="N146" s="9">
        <f t="shared" si="14"/>
        <v>1</v>
      </c>
      <c r="O146" s="9">
        <f t="shared" si="15"/>
        <v>1</v>
      </c>
      <c r="P146" s="9">
        <f t="shared" si="16"/>
        <v>1</v>
      </c>
    </row>
    <row r="147" spans="1:16" x14ac:dyDescent="0.4">
      <c r="A147" s="9" t="s">
        <v>10</v>
      </c>
      <c r="B147" s="10">
        <v>15797.493</v>
      </c>
      <c r="C147" s="10">
        <v>23439.596000000001</v>
      </c>
      <c r="D147" s="10"/>
      <c r="E147" s="10"/>
      <c r="F147" s="10">
        <f t="shared" si="12"/>
        <v>1.5797493</v>
      </c>
      <c r="G147" s="10">
        <f>IF(C147&lt;&gt;0,C147*N147/10000)</f>
        <v>2.3439596000000003</v>
      </c>
      <c r="H147" s="10"/>
      <c r="I147" s="10"/>
      <c r="J147" s="9">
        <v>312.37973333333332</v>
      </c>
      <c r="K147" s="9">
        <v>313</v>
      </c>
      <c r="M147" s="9">
        <f t="shared" si="13"/>
        <v>1</v>
      </c>
      <c r="N147" s="9">
        <f t="shared" si="14"/>
        <v>1</v>
      </c>
      <c r="O147" s="9">
        <f t="shared" si="15"/>
        <v>1</v>
      </c>
      <c r="P147" s="9">
        <f t="shared" si="16"/>
        <v>1</v>
      </c>
    </row>
    <row r="148" spans="1:16" x14ac:dyDescent="0.4">
      <c r="A148" s="9" t="s">
        <v>10</v>
      </c>
      <c r="B148" s="10">
        <v>4311.8689999999997</v>
      </c>
      <c r="C148" s="10">
        <v>26221.289000000001</v>
      </c>
      <c r="D148" s="10"/>
      <c r="E148" s="10"/>
      <c r="F148" s="10">
        <f t="shared" si="12"/>
        <v>0.43118689999999998</v>
      </c>
      <c r="G148" s="10">
        <f>IF(C148&lt;&gt;0,C148*N148/10000)</f>
        <v>2.6221288999999999</v>
      </c>
      <c r="H148" s="10"/>
      <c r="I148" s="10"/>
      <c r="J148" s="9">
        <v>314.71321666666665</v>
      </c>
      <c r="K148" s="9">
        <v>315</v>
      </c>
      <c r="M148" s="9">
        <f t="shared" si="13"/>
        <v>1</v>
      </c>
      <c r="N148" s="9">
        <f t="shared" si="14"/>
        <v>1</v>
      </c>
      <c r="O148" s="9">
        <f t="shared" si="15"/>
        <v>1</v>
      </c>
      <c r="P148" s="9">
        <f t="shared" si="16"/>
        <v>1</v>
      </c>
    </row>
    <row r="149" spans="1:16" x14ac:dyDescent="0.4">
      <c r="A149" s="9" t="s">
        <v>12</v>
      </c>
      <c r="B149" s="11">
        <v>3804.03</v>
      </c>
      <c r="D149" s="10"/>
      <c r="E149" s="10">
        <v>26624.502</v>
      </c>
      <c r="F149" s="10">
        <f t="shared" si="12"/>
        <v>0.38040300000000005</v>
      </c>
      <c r="G149" s="10"/>
      <c r="H149" s="10"/>
      <c r="I149" s="10">
        <f>IF(E149&lt;&gt;0,E149*P149/10000)</f>
        <v>2.6624501999999999</v>
      </c>
      <c r="J149" s="9">
        <v>316.21326666666675</v>
      </c>
      <c r="K149" s="9">
        <v>316.5</v>
      </c>
      <c r="M149" s="9">
        <f t="shared" si="13"/>
        <v>1</v>
      </c>
      <c r="N149" s="9">
        <f t="shared" si="14"/>
        <v>1</v>
      </c>
      <c r="O149" s="9">
        <f t="shared" si="15"/>
        <v>1</v>
      </c>
      <c r="P149" s="9">
        <f t="shared" si="16"/>
        <v>1</v>
      </c>
    </row>
    <row r="150" spans="1:16" x14ac:dyDescent="0.4">
      <c r="A150" s="9" t="s">
        <v>12</v>
      </c>
      <c r="B150" s="11">
        <v>3810.277</v>
      </c>
      <c r="D150" s="10"/>
      <c r="E150" s="10">
        <v>26620.195</v>
      </c>
      <c r="F150" s="10">
        <f t="shared" si="12"/>
        <v>0.38102770000000002</v>
      </c>
      <c r="G150" s="10"/>
      <c r="H150" s="10"/>
      <c r="I150" s="10">
        <f>IF(E150&lt;&gt;0,E150*P150/10000)</f>
        <v>2.6620195</v>
      </c>
      <c r="J150" s="9">
        <v>316.21326666666675</v>
      </c>
      <c r="K150" s="9">
        <v>317</v>
      </c>
      <c r="M150" s="9">
        <f t="shared" si="13"/>
        <v>1</v>
      </c>
      <c r="N150" s="9">
        <f t="shared" si="14"/>
        <v>1</v>
      </c>
      <c r="O150" s="9">
        <f t="shared" si="15"/>
        <v>1</v>
      </c>
      <c r="P150" s="9">
        <f t="shared" si="16"/>
        <v>1</v>
      </c>
    </row>
    <row r="151" spans="1:16" x14ac:dyDescent="0.4">
      <c r="A151" s="9" t="s">
        <v>12</v>
      </c>
      <c r="B151" s="11">
        <v>3810.123</v>
      </c>
      <c r="D151" s="10"/>
      <c r="E151" s="10">
        <v>26620.302</v>
      </c>
      <c r="F151" s="10">
        <f t="shared" si="12"/>
        <v>0.38101230000000003</v>
      </c>
      <c r="G151" s="10"/>
      <c r="H151" s="10"/>
      <c r="I151" s="10">
        <f>IF(E151&lt;&gt;0,E151*P151/10000)</f>
        <v>2.6620301999999998</v>
      </c>
      <c r="J151" s="9">
        <v>316.21326666666675</v>
      </c>
      <c r="K151" s="9">
        <v>317.5</v>
      </c>
      <c r="M151" s="9">
        <f t="shared" si="13"/>
        <v>1</v>
      </c>
      <c r="N151" s="9">
        <f t="shared" si="14"/>
        <v>1</v>
      </c>
      <c r="O151" s="9">
        <f t="shared" si="15"/>
        <v>1</v>
      </c>
      <c r="P151" s="9">
        <f t="shared" si="16"/>
        <v>1</v>
      </c>
    </row>
    <row r="152" spans="1:16" x14ac:dyDescent="0.4">
      <c r="A152" s="9" t="s">
        <v>12</v>
      </c>
      <c r="B152" s="11">
        <v>3800.549</v>
      </c>
      <c r="D152" s="10"/>
      <c r="E152" s="10">
        <v>26626.901999999998</v>
      </c>
      <c r="F152" s="10">
        <f t="shared" si="12"/>
        <v>0.38005489999999997</v>
      </c>
      <c r="G152" s="10"/>
      <c r="H152" s="10"/>
      <c r="I152" s="10">
        <f>IF(E152&lt;&gt;0,E152*P152/10000)</f>
        <v>2.6626901999999997</v>
      </c>
      <c r="J152" s="9">
        <v>316.37993333333338</v>
      </c>
      <c r="K152" s="9">
        <v>318</v>
      </c>
      <c r="M152" s="9">
        <f t="shared" si="13"/>
        <v>1</v>
      </c>
      <c r="N152" s="9">
        <f t="shared" si="14"/>
        <v>1</v>
      </c>
      <c r="O152" s="9">
        <f t="shared" si="15"/>
        <v>1</v>
      </c>
      <c r="P152" s="9">
        <f t="shared" si="16"/>
        <v>1</v>
      </c>
    </row>
    <row r="153" spans="1:16" x14ac:dyDescent="0.4">
      <c r="A153" s="9" t="s">
        <v>11</v>
      </c>
      <c r="B153" s="11">
        <v>18286.274000000001</v>
      </c>
      <c r="C153" s="10"/>
      <c r="D153" s="10">
        <v>22484.726999999999</v>
      </c>
      <c r="E153" s="10"/>
      <c r="F153" s="10">
        <f t="shared" si="12"/>
        <v>1.8286274000000002</v>
      </c>
      <c r="G153" s="10"/>
      <c r="H153" s="10">
        <f>IF(D153&lt;&gt;0,D153*O153/10000)</f>
        <v>2.2484726999999998</v>
      </c>
      <c r="I153" s="10"/>
      <c r="J153" s="9">
        <v>317.39001666666661</v>
      </c>
      <c r="K153" s="9">
        <v>318.5</v>
      </c>
      <c r="M153" s="9">
        <f t="shared" si="13"/>
        <v>1</v>
      </c>
      <c r="N153" s="9">
        <f t="shared" si="14"/>
        <v>1</v>
      </c>
      <c r="O153" s="9">
        <f t="shared" si="15"/>
        <v>1</v>
      </c>
      <c r="P153" s="9">
        <f t="shared" si="16"/>
        <v>1</v>
      </c>
    </row>
    <row r="154" spans="1:16" x14ac:dyDescent="0.4">
      <c r="A154" s="9" t="s">
        <v>11</v>
      </c>
      <c r="B154" s="11">
        <v>18286.274000000001</v>
      </c>
      <c r="C154" s="10"/>
      <c r="D154" s="10">
        <v>22484.726999999999</v>
      </c>
      <c r="E154" s="10"/>
      <c r="F154" s="10">
        <f t="shared" si="12"/>
        <v>1.8286274000000002</v>
      </c>
      <c r="G154" s="10"/>
      <c r="H154" s="10">
        <f>IF(D154&lt;&gt;0,D154*O154/10000)</f>
        <v>2.2484726999999998</v>
      </c>
      <c r="I154" s="10"/>
      <c r="J154" s="9">
        <v>317.41966666666667</v>
      </c>
      <c r="K154" s="9">
        <v>319</v>
      </c>
      <c r="M154" s="9">
        <f t="shared" si="13"/>
        <v>1</v>
      </c>
      <c r="N154" s="9">
        <f t="shared" si="14"/>
        <v>1</v>
      </c>
      <c r="O154" s="9">
        <f t="shared" si="15"/>
        <v>1</v>
      </c>
      <c r="P154" s="9">
        <f t="shared" si="16"/>
        <v>1</v>
      </c>
    </row>
    <row r="155" spans="1:16" x14ac:dyDescent="0.4">
      <c r="A155" s="9" t="s">
        <v>11</v>
      </c>
      <c r="B155" s="11">
        <v>18286.274000000001</v>
      </c>
      <c r="C155" s="10"/>
      <c r="D155" s="10">
        <v>22484.726999999999</v>
      </c>
      <c r="E155" s="10"/>
      <c r="F155" s="10">
        <f t="shared" si="12"/>
        <v>1.8286274000000002</v>
      </c>
      <c r="G155" s="10"/>
      <c r="H155" s="10">
        <f>IF(D155&lt;&gt;0,D155*O155/10000)</f>
        <v>2.2484726999999998</v>
      </c>
      <c r="I155" s="10"/>
      <c r="J155" s="9">
        <v>317.45755000000008</v>
      </c>
      <c r="K155" s="9">
        <v>319.5</v>
      </c>
      <c r="M155" s="9">
        <f t="shared" si="13"/>
        <v>1</v>
      </c>
      <c r="N155" s="9">
        <f t="shared" si="14"/>
        <v>1</v>
      </c>
      <c r="O155" s="9">
        <f t="shared" si="15"/>
        <v>1</v>
      </c>
      <c r="P155" s="9">
        <f t="shared" si="16"/>
        <v>1</v>
      </c>
    </row>
    <row r="156" spans="1:16" x14ac:dyDescent="0.4">
      <c r="A156" s="9" t="s">
        <v>11</v>
      </c>
      <c r="B156" s="11">
        <v>18286.274000000001</v>
      </c>
      <c r="C156" s="10"/>
      <c r="D156" s="10">
        <v>22484.726999999999</v>
      </c>
      <c r="E156" s="10"/>
      <c r="F156" s="10">
        <f t="shared" si="12"/>
        <v>1.8286274000000002</v>
      </c>
      <c r="G156" s="10"/>
      <c r="H156" s="10">
        <f>IF(D156&lt;&gt;0,D156*O156/10000)</f>
        <v>2.2484726999999998</v>
      </c>
      <c r="I156" s="10"/>
      <c r="J156" s="9">
        <v>317.49126666666666</v>
      </c>
      <c r="K156" s="9">
        <v>320</v>
      </c>
      <c r="M156" s="9">
        <f t="shared" si="13"/>
        <v>1</v>
      </c>
      <c r="N156" s="9">
        <f t="shared" si="14"/>
        <v>1</v>
      </c>
      <c r="O156" s="9">
        <f t="shared" si="15"/>
        <v>1</v>
      </c>
      <c r="P156" s="9">
        <f t="shared" si="16"/>
        <v>1</v>
      </c>
    </row>
    <row r="157" spans="1:16" x14ac:dyDescent="0.4">
      <c r="A157" s="9" t="s">
        <v>10</v>
      </c>
      <c r="B157" s="10">
        <v>17843.420999999998</v>
      </c>
      <c r="C157" s="10">
        <v>22854.197</v>
      </c>
      <c r="D157" s="10"/>
      <c r="E157" s="10"/>
      <c r="F157" s="10">
        <f t="shared" si="12"/>
        <v>1.7843420999999999</v>
      </c>
      <c r="G157" s="10">
        <f>IF(C157&lt;&gt;0,C157*N157/10000)</f>
        <v>2.2854196999999998</v>
      </c>
      <c r="H157" s="10"/>
      <c r="I157" s="10"/>
      <c r="J157" s="9">
        <v>318.04660000000001</v>
      </c>
      <c r="K157" s="9">
        <v>320.5</v>
      </c>
      <c r="M157" s="9">
        <f t="shared" si="13"/>
        <v>1</v>
      </c>
      <c r="N157" s="9">
        <f t="shared" si="14"/>
        <v>1</v>
      </c>
      <c r="O157" s="9">
        <f t="shared" si="15"/>
        <v>1</v>
      </c>
      <c r="P157" s="9">
        <f t="shared" si="16"/>
        <v>1</v>
      </c>
    </row>
    <row r="158" spans="1:16" x14ac:dyDescent="0.4">
      <c r="A158" s="9" t="s">
        <v>10</v>
      </c>
      <c r="B158" s="10">
        <v>17843.420999999998</v>
      </c>
      <c r="C158" s="10">
        <v>22854.197</v>
      </c>
      <c r="D158" s="10"/>
      <c r="E158" s="10"/>
      <c r="F158" s="10">
        <f t="shared" si="12"/>
        <v>1.7843420999999999</v>
      </c>
      <c r="G158" s="10">
        <f>IF(C158&lt;&gt;0,C158*N158/10000)</f>
        <v>2.2854196999999998</v>
      </c>
      <c r="H158" s="10"/>
      <c r="I158" s="10"/>
      <c r="J158" s="9">
        <v>318.21326666666675</v>
      </c>
      <c r="K158" s="9">
        <v>321</v>
      </c>
      <c r="M158" s="9">
        <f t="shared" si="13"/>
        <v>1</v>
      </c>
      <c r="N158" s="9">
        <f t="shared" si="14"/>
        <v>1</v>
      </c>
      <c r="O158" s="9">
        <f t="shared" si="15"/>
        <v>1</v>
      </c>
      <c r="P158" s="9">
        <f t="shared" si="16"/>
        <v>1</v>
      </c>
    </row>
    <row r="159" spans="1:16" x14ac:dyDescent="0.4">
      <c r="A159" s="9" t="s">
        <v>10</v>
      </c>
      <c r="B159" s="10">
        <v>17843.420999999998</v>
      </c>
      <c r="C159" s="10">
        <v>22854.197</v>
      </c>
      <c r="D159" s="10"/>
      <c r="E159" s="10"/>
      <c r="F159" s="10">
        <f t="shared" si="12"/>
        <v>1.7843420999999999</v>
      </c>
      <c r="G159" s="10">
        <f>IF(C159&lt;&gt;0,C159*N159/10000)</f>
        <v>2.2854196999999998</v>
      </c>
      <c r="H159" s="10"/>
      <c r="I159" s="10"/>
      <c r="J159" s="9">
        <v>319.04668333333336</v>
      </c>
      <c r="K159" s="9">
        <v>321.5</v>
      </c>
      <c r="M159" s="9">
        <f t="shared" si="13"/>
        <v>1</v>
      </c>
      <c r="N159" s="9">
        <f t="shared" si="14"/>
        <v>1</v>
      </c>
      <c r="O159" s="9">
        <f t="shared" si="15"/>
        <v>1</v>
      </c>
      <c r="P159" s="9">
        <f t="shared" si="16"/>
        <v>1</v>
      </c>
    </row>
    <row r="160" spans="1:16" x14ac:dyDescent="0.4">
      <c r="A160" s="9" t="s">
        <v>10</v>
      </c>
      <c r="B160" s="10">
        <v>17843.420999999998</v>
      </c>
      <c r="C160" s="10">
        <v>22854.197</v>
      </c>
      <c r="D160" s="10"/>
      <c r="E160" s="10"/>
      <c r="F160" s="10">
        <f t="shared" si="12"/>
        <v>1.7843420999999999</v>
      </c>
      <c r="G160" s="10">
        <f>IF(C160&lt;&gt;0,C160*N160/10000)</f>
        <v>2.2854196999999998</v>
      </c>
      <c r="H160" s="10"/>
      <c r="I160" s="10"/>
      <c r="J160" s="9">
        <v>319.54668333333336</v>
      </c>
      <c r="K160" s="9">
        <v>322</v>
      </c>
      <c r="M160" s="9">
        <f t="shared" si="13"/>
        <v>1</v>
      </c>
      <c r="N160" s="9">
        <f t="shared" si="14"/>
        <v>1</v>
      </c>
      <c r="O160" s="9">
        <f t="shared" si="15"/>
        <v>1</v>
      </c>
      <c r="P160" s="9">
        <f t="shared" si="16"/>
        <v>1</v>
      </c>
    </row>
    <row r="161" spans="1:16" x14ac:dyDescent="0.4">
      <c r="A161" s="9" t="s">
        <v>10</v>
      </c>
      <c r="B161" s="10">
        <v>17843.420999999998</v>
      </c>
      <c r="C161" s="10">
        <v>22854.197</v>
      </c>
      <c r="D161" s="10"/>
      <c r="E161" s="10"/>
      <c r="F161" s="10">
        <f t="shared" si="12"/>
        <v>1.7843420999999999</v>
      </c>
      <c r="G161" s="10">
        <f>IF(C161&lt;&gt;0,C161*N161/10000)</f>
        <v>2.2854196999999998</v>
      </c>
      <c r="H161" s="10"/>
      <c r="I161" s="10"/>
      <c r="J161" s="9">
        <v>319.71334999999999</v>
      </c>
      <c r="K161" s="9">
        <v>322.5</v>
      </c>
      <c r="M161" s="9">
        <f t="shared" si="13"/>
        <v>1</v>
      </c>
      <c r="N161" s="9">
        <f t="shared" si="14"/>
        <v>1</v>
      </c>
      <c r="O161" s="9">
        <f t="shared" si="15"/>
        <v>1</v>
      </c>
      <c r="P161" s="9">
        <f t="shared" si="16"/>
        <v>1</v>
      </c>
    </row>
    <row r="162" spans="1:16" x14ac:dyDescent="0.4">
      <c r="A162" s="9" t="s">
        <v>11</v>
      </c>
      <c r="B162" s="11">
        <v>18047.305</v>
      </c>
      <c r="C162" s="10"/>
      <c r="D162" s="10">
        <v>22718.513999999999</v>
      </c>
      <c r="E162" s="10"/>
      <c r="F162" s="10">
        <f t="shared" si="12"/>
        <v>1.8047305</v>
      </c>
      <c r="G162" s="10"/>
      <c r="H162" s="10">
        <f>IF(D162&lt;&gt;0,D162*O162/10000)</f>
        <v>2.2718514000000001</v>
      </c>
      <c r="I162" s="10"/>
      <c r="J162" s="9">
        <v>323.87980000000005</v>
      </c>
      <c r="K162" s="9">
        <v>324</v>
      </c>
      <c r="M162" s="9">
        <f t="shared" si="13"/>
        <v>1</v>
      </c>
      <c r="N162" s="9">
        <f t="shared" si="14"/>
        <v>1</v>
      </c>
      <c r="O162" s="9">
        <f t="shared" si="15"/>
        <v>1</v>
      </c>
      <c r="P162" s="9">
        <f t="shared" si="16"/>
        <v>1</v>
      </c>
    </row>
    <row r="163" spans="1:16" x14ac:dyDescent="0.4">
      <c r="A163" s="9" t="s">
        <v>11</v>
      </c>
      <c r="B163" s="11">
        <v>18047.305</v>
      </c>
      <c r="C163" s="10"/>
      <c r="D163" s="10">
        <v>22718.513999999999</v>
      </c>
      <c r="E163" s="10"/>
      <c r="F163" s="10">
        <f t="shared" si="12"/>
        <v>1.8047305</v>
      </c>
      <c r="G163" s="10"/>
      <c r="H163" s="10">
        <f>IF(D163&lt;&gt;0,D163*O163/10000)</f>
        <v>2.2718514000000001</v>
      </c>
      <c r="I163" s="10"/>
      <c r="J163" s="9">
        <v>323.91206666666676</v>
      </c>
      <c r="K163" s="9">
        <v>324.5</v>
      </c>
      <c r="M163" s="9">
        <f t="shared" si="13"/>
        <v>1</v>
      </c>
      <c r="N163" s="9">
        <f t="shared" si="14"/>
        <v>1</v>
      </c>
      <c r="O163" s="9">
        <f t="shared" si="15"/>
        <v>1</v>
      </c>
      <c r="P163" s="9">
        <f t="shared" si="16"/>
        <v>1</v>
      </c>
    </row>
    <row r="164" spans="1:16" x14ac:dyDescent="0.4">
      <c r="A164" s="9" t="s">
        <v>11</v>
      </c>
      <c r="B164" s="11">
        <v>18059.759999999998</v>
      </c>
      <c r="C164" s="10"/>
      <c r="D164" s="10">
        <v>22730.196</v>
      </c>
      <c r="E164" s="10"/>
      <c r="F164" s="10">
        <f t="shared" si="12"/>
        <v>1.8059759999999998</v>
      </c>
      <c r="G164" s="10"/>
      <c r="H164" s="10">
        <f>IF(D164&lt;&gt;0,D164*O164/10000)</f>
        <v>2.2730196</v>
      </c>
      <c r="I164" s="10"/>
      <c r="J164" s="9">
        <v>323.96535000000006</v>
      </c>
      <c r="K164" s="9">
        <v>325</v>
      </c>
      <c r="M164" s="9">
        <f t="shared" si="13"/>
        <v>1</v>
      </c>
      <c r="N164" s="9">
        <f t="shared" si="14"/>
        <v>1</v>
      </c>
      <c r="O164" s="9">
        <f t="shared" si="15"/>
        <v>1</v>
      </c>
      <c r="P164" s="9">
        <f t="shared" si="16"/>
        <v>1</v>
      </c>
    </row>
    <row r="165" spans="1:16" x14ac:dyDescent="0.4">
      <c r="A165" s="9" t="s">
        <v>12</v>
      </c>
      <c r="B165" s="11">
        <v>3748.5810000000001</v>
      </c>
      <c r="D165" s="10"/>
      <c r="E165" s="10">
        <v>26514.355</v>
      </c>
      <c r="F165" s="10">
        <f t="shared" si="12"/>
        <v>0.37485810000000003</v>
      </c>
      <c r="G165" s="10"/>
      <c r="H165" s="10"/>
      <c r="I165" s="10">
        <f>IF(E165&lt;&gt;0,E165*P165/10000)</f>
        <v>2.6514354999999998</v>
      </c>
      <c r="J165" s="9">
        <v>324.0469333333333</v>
      </c>
      <c r="K165" s="9">
        <v>325.5</v>
      </c>
      <c r="M165" s="9">
        <f t="shared" si="13"/>
        <v>1</v>
      </c>
      <c r="N165" s="9">
        <f t="shared" si="14"/>
        <v>1</v>
      </c>
      <c r="O165" s="9">
        <f t="shared" si="15"/>
        <v>1</v>
      </c>
      <c r="P165" s="9">
        <f t="shared" si="16"/>
        <v>1</v>
      </c>
    </row>
    <row r="166" spans="1:16" x14ac:dyDescent="0.4">
      <c r="A166" s="9" t="s">
        <v>13</v>
      </c>
      <c r="B166" s="11">
        <v>18068.571</v>
      </c>
      <c r="C166" s="10"/>
      <c r="D166" s="10">
        <v>22724.37</v>
      </c>
      <c r="E166" s="10"/>
      <c r="F166" s="10">
        <f t="shared" si="12"/>
        <v>1.8068571</v>
      </c>
      <c r="G166" s="10"/>
      <c r="H166" s="10">
        <f>IF(D166&lt;&gt;0,D166*O166/10000)</f>
        <v>2.272437</v>
      </c>
      <c r="I166" s="10"/>
      <c r="J166" s="9">
        <v>324.56801666666661</v>
      </c>
      <c r="K166" s="9">
        <v>326</v>
      </c>
      <c r="M166" s="9">
        <f t="shared" si="13"/>
        <v>1</v>
      </c>
      <c r="N166" s="9">
        <f t="shared" si="14"/>
        <v>1</v>
      </c>
      <c r="O166" s="9">
        <f t="shared" si="15"/>
        <v>1</v>
      </c>
      <c r="P166" s="9">
        <f t="shared" si="16"/>
        <v>1</v>
      </c>
    </row>
    <row r="167" spans="1:16" x14ac:dyDescent="0.4">
      <c r="A167" s="9" t="s">
        <v>11</v>
      </c>
      <c r="B167" s="11">
        <v>2506.19</v>
      </c>
      <c r="C167" s="10"/>
      <c r="D167" s="10">
        <v>26126.199000000001</v>
      </c>
      <c r="E167" s="10"/>
      <c r="F167" s="10">
        <f t="shared" si="12"/>
        <v>0.25061899999999998</v>
      </c>
      <c r="G167" s="10"/>
      <c r="H167" s="10">
        <f>IF(D167&lt;&gt;0,D167*O167/10000)</f>
        <v>2.6126198999999999</v>
      </c>
      <c r="I167" s="10"/>
      <c r="J167" s="9">
        <v>326.96441666666669</v>
      </c>
      <c r="K167" s="9">
        <v>327</v>
      </c>
      <c r="M167" s="9">
        <f t="shared" si="13"/>
        <v>1</v>
      </c>
      <c r="N167" s="9">
        <f t="shared" si="14"/>
        <v>1</v>
      </c>
      <c r="O167" s="9">
        <f t="shared" si="15"/>
        <v>1</v>
      </c>
      <c r="P167" s="9">
        <f t="shared" si="16"/>
        <v>1</v>
      </c>
    </row>
    <row r="168" spans="1:16" x14ac:dyDescent="0.4">
      <c r="A168" s="9" t="s">
        <v>11</v>
      </c>
      <c r="B168" s="11">
        <v>3892.38</v>
      </c>
      <c r="D168" s="10"/>
      <c r="E168" s="10">
        <v>26474.6</v>
      </c>
      <c r="F168" s="10">
        <f t="shared" si="12"/>
        <v>0.38923800000000003</v>
      </c>
      <c r="G168" s="10"/>
      <c r="H168" s="10"/>
      <c r="I168" s="10">
        <f>IF(E168&lt;&gt;0,E168*P168/10000)</f>
        <v>2.6474599999999997</v>
      </c>
      <c r="J168" s="9">
        <v>326.99380000000008</v>
      </c>
      <c r="K168" s="9">
        <v>327.5</v>
      </c>
      <c r="M168" s="9">
        <f t="shared" si="13"/>
        <v>1</v>
      </c>
      <c r="N168" s="9">
        <f t="shared" si="14"/>
        <v>1</v>
      </c>
      <c r="O168" s="9">
        <f t="shared" si="15"/>
        <v>1</v>
      </c>
      <c r="P168" s="9">
        <f t="shared" si="16"/>
        <v>1</v>
      </c>
    </row>
    <row r="169" spans="1:16" x14ac:dyDescent="0.4">
      <c r="A169" s="9" t="s">
        <v>11</v>
      </c>
      <c r="B169" s="11">
        <v>15924.955</v>
      </c>
      <c r="C169" s="10"/>
      <c r="D169" s="10">
        <v>23420.577000000001</v>
      </c>
      <c r="E169" s="10"/>
      <c r="F169" s="10">
        <f t="shared" si="12"/>
        <v>1.5924955000000001</v>
      </c>
      <c r="G169" s="10"/>
      <c r="H169" s="10">
        <f>IF(D169&lt;&gt;0,D169*O169/10000)</f>
        <v>2.3420577000000002</v>
      </c>
      <c r="I169" s="10"/>
      <c r="J169" s="9">
        <v>331.1740666666667</v>
      </c>
      <c r="K169" s="9">
        <v>331.5</v>
      </c>
      <c r="M169" s="9">
        <f t="shared" si="13"/>
        <v>1</v>
      </c>
      <c r="N169" s="9">
        <f t="shared" si="14"/>
        <v>1</v>
      </c>
      <c r="O169" s="9">
        <f t="shared" si="15"/>
        <v>1</v>
      </c>
      <c r="P169" s="9">
        <f t="shared" si="16"/>
        <v>1</v>
      </c>
    </row>
    <row r="170" spans="1:16" x14ac:dyDescent="0.4">
      <c r="A170" s="9" t="s">
        <v>13</v>
      </c>
      <c r="B170" s="11">
        <v>17852.84</v>
      </c>
      <c r="C170" s="10"/>
      <c r="D170" s="10">
        <v>22847.476999999999</v>
      </c>
      <c r="E170" s="10"/>
      <c r="F170" s="10">
        <f t="shared" si="12"/>
        <v>1.7852840000000001</v>
      </c>
      <c r="G170" s="10"/>
      <c r="H170" s="10">
        <f>IF(D170&lt;&gt;0,D170*O170/10000)</f>
        <v>2.2847477</v>
      </c>
      <c r="I170" s="10"/>
      <c r="J170" s="9">
        <v>338.8981500000001</v>
      </c>
      <c r="K170" s="9">
        <v>339</v>
      </c>
      <c r="M170" s="9">
        <f t="shared" si="13"/>
        <v>1</v>
      </c>
      <c r="N170" s="9">
        <f t="shared" si="14"/>
        <v>1</v>
      </c>
      <c r="O170" s="9">
        <f t="shared" si="15"/>
        <v>1</v>
      </c>
      <c r="P170" s="9">
        <f t="shared" si="16"/>
        <v>1</v>
      </c>
    </row>
    <row r="171" spans="1:16" x14ac:dyDescent="0.4">
      <c r="A171" s="9" t="s">
        <v>12</v>
      </c>
      <c r="B171" s="11">
        <v>3772.69</v>
      </c>
      <c r="D171" s="10"/>
      <c r="E171" s="10">
        <v>26591.925999999999</v>
      </c>
      <c r="F171" s="10">
        <f t="shared" si="12"/>
        <v>0.37726900000000002</v>
      </c>
      <c r="G171" s="10"/>
      <c r="H171" s="10"/>
      <c r="I171" s="10">
        <f>IF(E171&lt;&gt;0,E171*P171/10000)</f>
        <v>2.6591925999999999</v>
      </c>
      <c r="J171" s="9">
        <v>342.38128333333339</v>
      </c>
      <c r="K171" s="9">
        <v>342.5</v>
      </c>
      <c r="M171" s="9">
        <f t="shared" si="13"/>
        <v>1</v>
      </c>
      <c r="N171" s="9">
        <f t="shared" si="14"/>
        <v>1</v>
      </c>
      <c r="O171" s="9">
        <f t="shared" si="15"/>
        <v>1</v>
      </c>
      <c r="P171" s="9">
        <f t="shared" si="16"/>
        <v>1</v>
      </c>
    </row>
    <row r="172" spans="1:16" x14ac:dyDescent="0.4">
      <c r="A172" s="9" t="s">
        <v>12</v>
      </c>
      <c r="B172" s="11">
        <v>3772.9960000000001</v>
      </c>
      <c r="D172" s="10"/>
      <c r="E172" s="10">
        <v>26592.583999999999</v>
      </c>
      <c r="F172" s="10">
        <f t="shared" si="12"/>
        <v>0.37729960000000001</v>
      </c>
      <c r="G172" s="10"/>
      <c r="H172" s="10"/>
      <c r="I172" s="10">
        <f>IF(E172&lt;&gt;0,E172*P172/10000)</f>
        <v>2.6592583999999997</v>
      </c>
      <c r="J172" s="9">
        <v>342.38128333333339</v>
      </c>
      <c r="K172" s="9">
        <v>343</v>
      </c>
      <c r="M172" s="9">
        <f t="shared" si="13"/>
        <v>1</v>
      </c>
      <c r="N172" s="9">
        <f t="shared" si="14"/>
        <v>1</v>
      </c>
      <c r="O172" s="9">
        <f t="shared" si="15"/>
        <v>1</v>
      </c>
      <c r="P172" s="9">
        <f t="shared" si="16"/>
        <v>1</v>
      </c>
    </row>
    <row r="173" spans="1:16" x14ac:dyDescent="0.4">
      <c r="A173" s="9" t="s">
        <v>13</v>
      </c>
      <c r="B173" s="11">
        <v>3728.3009999999999</v>
      </c>
      <c r="D173" s="10"/>
      <c r="E173" s="10">
        <v>26618.841</v>
      </c>
      <c r="F173" s="10">
        <f t="shared" si="12"/>
        <v>0.3728301</v>
      </c>
      <c r="G173" s="10"/>
      <c r="H173" s="10"/>
      <c r="I173" s="10">
        <f>IF(E173&lt;&gt;0,E173*P173/10000)</f>
        <v>2.6618841</v>
      </c>
      <c r="J173" s="9">
        <v>344.11161666666669</v>
      </c>
      <c r="K173" s="9">
        <v>344.5</v>
      </c>
      <c r="M173" s="9">
        <f t="shared" si="13"/>
        <v>1</v>
      </c>
      <c r="N173" s="9">
        <f t="shared" si="14"/>
        <v>1</v>
      </c>
      <c r="O173" s="9">
        <f t="shared" si="15"/>
        <v>1</v>
      </c>
      <c r="P173" s="9">
        <f t="shared" si="16"/>
        <v>1</v>
      </c>
    </row>
    <row r="174" spans="1:16" x14ac:dyDescent="0.4">
      <c r="A174" s="9" t="s">
        <v>13</v>
      </c>
      <c r="B174" s="11">
        <v>1979.86</v>
      </c>
      <c r="C174" s="10"/>
      <c r="D174" s="10">
        <v>24298.800999999999</v>
      </c>
      <c r="E174" s="10"/>
      <c r="F174" s="10">
        <f t="shared" si="12"/>
        <v>0.197986</v>
      </c>
      <c r="G174" s="10"/>
      <c r="H174" s="10">
        <f t="shared" ref="H174:H179" si="17">IF(D174&lt;&gt;0,D174*O174/10000)</f>
        <v>2.4298801000000001</v>
      </c>
      <c r="I174" s="10"/>
      <c r="J174" s="9">
        <v>349.73801666666668</v>
      </c>
      <c r="K174" s="9">
        <v>350</v>
      </c>
      <c r="M174" s="9">
        <f t="shared" si="13"/>
        <v>1</v>
      </c>
      <c r="N174" s="9">
        <f t="shared" si="14"/>
        <v>1</v>
      </c>
      <c r="O174" s="9">
        <f t="shared" si="15"/>
        <v>1</v>
      </c>
      <c r="P174" s="9">
        <f t="shared" si="16"/>
        <v>1</v>
      </c>
    </row>
    <row r="175" spans="1:16" x14ac:dyDescent="0.4">
      <c r="A175" s="9" t="s">
        <v>11</v>
      </c>
      <c r="B175" s="11">
        <v>20010.072</v>
      </c>
      <c r="C175" s="10"/>
      <c r="D175" s="10">
        <v>22492.153999999999</v>
      </c>
      <c r="E175" s="10"/>
      <c r="F175" s="10">
        <f t="shared" si="12"/>
        <v>2.0010072000000001</v>
      </c>
      <c r="G175" s="10"/>
      <c r="H175" s="10">
        <f t="shared" si="17"/>
        <v>2.2492153999999998</v>
      </c>
      <c r="I175" s="10"/>
      <c r="J175" s="9">
        <v>351.16953333333333</v>
      </c>
      <c r="K175" s="9">
        <v>351.5</v>
      </c>
      <c r="M175" s="9">
        <f t="shared" si="13"/>
        <v>1</v>
      </c>
      <c r="N175" s="9">
        <f t="shared" si="14"/>
        <v>1</v>
      </c>
      <c r="O175" s="9">
        <f t="shared" si="15"/>
        <v>1</v>
      </c>
      <c r="P175" s="9">
        <f t="shared" si="16"/>
        <v>1</v>
      </c>
    </row>
    <row r="176" spans="1:16" x14ac:dyDescent="0.4">
      <c r="A176" s="9" t="s">
        <v>11</v>
      </c>
      <c r="B176" s="11">
        <v>20009.895</v>
      </c>
      <c r="C176" s="10"/>
      <c r="D176" s="10">
        <v>22492.488000000001</v>
      </c>
      <c r="E176" s="10"/>
      <c r="F176" s="10">
        <f t="shared" si="12"/>
        <v>2.0009895000000002</v>
      </c>
      <c r="G176" s="10"/>
      <c r="H176" s="10">
        <f t="shared" si="17"/>
        <v>2.2492488000000002</v>
      </c>
      <c r="I176" s="10"/>
      <c r="J176" s="9">
        <v>351.23400000000004</v>
      </c>
      <c r="K176" s="9">
        <v>352</v>
      </c>
      <c r="M176" s="9">
        <f t="shared" si="13"/>
        <v>1</v>
      </c>
      <c r="N176" s="9">
        <f t="shared" si="14"/>
        <v>1</v>
      </c>
      <c r="O176" s="9">
        <f t="shared" si="15"/>
        <v>1</v>
      </c>
      <c r="P176" s="9">
        <f t="shared" si="16"/>
        <v>1</v>
      </c>
    </row>
    <row r="177" spans="1:16" x14ac:dyDescent="0.4">
      <c r="A177" s="9" t="s">
        <v>11</v>
      </c>
      <c r="B177" s="11">
        <v>20011.096000000001</v>
      </c>
      <c r="C177" s="10"/>
      <c r="D177" s="10">
        <v>22490.177</v>
      </c>
      <c r="E177" s="10"/>
      <c r="F177" s="10">
        <f t="shared" si="12"/>
        <v>2.0011095999999999</v>
      </c>
      <c r="G177" s="10"/>
      <c r="H177" s="10">
        <f t="shared" si="17"/>
        <v>2.2490177</v>
      </c>
      <c r="I177" s="10"/>
      <c r="J177" s="9">
        <v>351.35246666666671</v>
      </c>
      <c r="K177" s="9">
        <v>352.5</v>
      </c>
      <c r="M177" s="9">
        <f t="shared" si="13"/>
        <v>1</v>
      </c>
      <c r="N177" s="9">
        <f t="shared" si="14"/>
        <v>1</v>
      </c>
      <c r="O177" s="9">
        <f t="shared" si="15"/>
        <v>1</v>
      </c>
      <c r="P177" s="9">
        <f t="shared" si="16"/>
        <v>1</v>
      </c>
    </row>
    <row r="178" spans="1:16" x14ac:dyDescent="0.4">
      <c r="A178" s="9" t="s">
        <v>11</v>
      </c>
      <c r="B178" s="11">
        <v>20011.096000000001</v>
      </c>
      <c r="C178" s="10"/>
      <c r="D178" s="10">
        <v>22490.177</v>
      </c>
      <c r="E178" s="10"/>
      <c r="F178" s="10">
        <f t="shared" si="12"/>
        <v>2.0011095999999999</v>
      </c>
      <c r="G178" s="10"/>
      <c r="H178" s="10">
        <f t="shared" si="17"/>
        <v>2.2490177</v>
      </c>
      <c r="I178" s="10"/>
      <c r="J178" s="9">
        <v>351.40101666666669</v>
      </c>
      <c r="K178" s="9">
        <v>353</v>
      </c>
      <c r="M178" s="9">
        <f t="shared" si="13"/>
        <v>1</v>
      </c>
      <c r="N178" s="9">
        <f t="shared" si="14"/>
        <v>1</v>
      </c>
      <c r="O178" s="9">
        <f t="shared" si="15"/>
        <v>1</v>
      </c>
      <c r="P178" s="9">
        <f t="shared" si="16"/>
        <v>1</v>
      </c>
    </row>
    <row r="179" spans="1:16" x14ac:dyDescent="0.4">
      <c r="A179" s="9" t="s">
        <v>11</v>
      </c>
      <c r="B179" s="11">
        <v>20011.096000000001</v>
      </c>
      <c r="C179" s="10"/>
      <c r="D179" s="10">
        <v>22490.177</v>
      </c>
      <c r="E179" s="10"/>
      <c r="F179" s="10">
        <f t="shared" si="12"/>
        <v>2.0011095999999999</v>
      </c>
      <c r="G179" s="10"/>
      <c r="H179" s="10">
        <f t="shared" si="17"/>
        <v>2.2490177</v>
      </c>
      <c r="I179" s="10"/>
      <c r="J179" s="9">
        <v>351.43275000000006</v>
      </c>
      <c r="K179" s="9">
        <v>353.5</v>
      </c>
      <c r="M179" s="9">
        <f t="shared" si="13"/>
        <v>1</v>
      </c>
      <c r="N179" s="9">
        <f t="shared" si="14"/>
        <v>1</v>
      </c>
      <c r="O179" s="9">
        <f t="shared" si="15"/>
        <v>1</v>
      </c>
      <c r="P179" s="9">
        <f t="shared" si="16"/>
        <v>1</v>
      </c>
    </row>
    <row r="180" spans="1:16" x14ac:dyDescent="0.4">
      <c r="A180" s="9" t="s">
        <v>12</v>
      </c>
      <c r="B180" s="11">
        <v>3815.0610000000001</v>
      </c>
      <c r="D180" s="10"/>
      <c r="E180" s="10">
        <v>26611.996999999999</v>
      </c>
      <c r="F180" s="10">
        <f t="shared" si="12"/>
        <v>0.38150610000000001</v>
      </c>
      <c r="G180" s="10"/>
      <c r="H180" s="10"/>
      <c r="I180" s="10">
        <f>IF(E180&lt;&gt;0,E180*P180/10000)</f>
        <v>2.6611997000000001</v>
      </c>
      <c r="J180" s="9">
        <v>353.04840000000002</v>
      </c>
      <c r="K180" s="9">
        <v>354</v>
      </c>
      <c r="M180" s="9">
        <f t="shared" si="13"/>
        <v>1</v>
      </c>
      <c r="N180" s="9">
        <f t="shared" si="14"/>
        <v>1</v>
      </c>
      <c r="O180" s="9">
        <f t="shared" si="15"/>
        <v>1</v>
      </c>
      <c r="P180" s="9">
        <f t="shared" si="16"/>
        <v>1</v>
      </c>
    </row>
    <row r="181" spans="1:16" x14ac:dyDescent="0.4">
      <c r="A181" s="9" t="s">
        <v>12</v>
      </c>
      <c r="B181" s="11">
        <v>3815.181</v>
      </c>
      <c r="D181" s="10"/>
      <c r="E181" s="10">
        <v>26611.724999999999</v>
      </c>
      <c r="F181" s="10">
        <f t="shared" si="12"/>
        <v>0.38151810000000003</v>
      </c>
      <c r="G181" s="10"/>
      <c r="H181" s="10"/>
      <c r="I181" s="10">
        <f>IF(E181&lt;&gt;0,E181*P181/10000)</f>
        <v>2.6611724999999997</v>
      </c>
      <c r="J181" s="9">
        <v>353.21506666666676</v>
      </c>
      <c r="K181" s="9">
        <v>354.5</v>
      </c>
      <c r="M181" s="9">
        <f t="shared" si="13"/>
        <v>1</v>
      </c>
      <c r="N181" s="9">
        <f t="shared" si="14"/>
        <v>1</v>
      </c>
      <c r="O181" s="9">
        <f t="shared" si="15"/>
        <v>1</v>
      </c>
      <c r="P181" s="9">
        <f t="shared" si="16"/>
        <v>1</v>
      </c>
    </row>
    <row r="182" spans="1:16" x14ac:dyDescent="0.4">
      <c r="A182" s="9" t="s">
        <v>12</v>
      </c>
      <c r="B182" s="11">
        <v>3815.2710000000002</v>
      </c>
      <c r="D182" s="10"/>
      <c r="E182" s="10">
        <v>26611.848000000002</v>
      </c>
      <c r="F182" s="10">
        <f t="shared" si="12"/>
        <v>0.38152710000000001</v>
      </c>
      <c r="G182" s="10"/>
      <c r="H182" s="10"/>
      <c r="I182" s="10">
        <f>IF(E182&lt;&gt;0,E182*P182/10000)</f>
        <v>2.6611848</v>
      </c>
      <c r="J182" s="9">
        <v>353.21506666666676</v>
      </c>
      <c r="K182" s="9">
        <v>355</v>
      </c>
      <c r="M182" s="9">
        <f t="shared" si="13"/>
        <v>1</v>
      </c>
      <c r="N182" s="9">
        <f t="shared" si="14"/>
        <v>1</v>
      </c>
      <c r="O182" s="9">
        <f t="shared" si="15"/>
        <v>1</v>
      </c>
      <c r="P182" s="9">
        <f t="shared" si="16"/>
        <v>1</v>
      </c>
    </row>
    <row r="183" spans="1:16" x14ac:dyDescent="0.4">
      <c r="A183" s="9" t="s">
        <v>12</v>
      </c>
      <c r="B183" s="11">
        <v>4157.6350000000002</v>
      </c>
      <c r="D183" s="10"/>
      <c r="E183" s="10">
        <v>25855.796999999999</v>
      </c>
      <c r="F183" s="10">
        <f t="shared" si="12"/>
        <v>0.41576350000000001</v>
      </c>
      <c r="G183" s="10"/>
      <c r="H183" s="10"/>
      <c r="I183" s="10">
        <f>IF(E183&lt;&gt;0,E183*P183/10000)</f>
        <v>2.5855796999999998</v>
      </c>
      <c r="J183" s="9">
        <v>370.21588333333341</v>
      </c>
      <c r="K183" s="9">
        <v>370.5</v>
      </c>
      <c r="M183" s="9">
        <f t="shared" si="13"/>
        <v>1</v>
      </c>
      <c r="N183" s="9">
        <f t="shared" si="14"/>
        <v>1</v>
      </c>
      <c r="O183" s="9">
        <f t="shared" si="15"/>
        <v>1</v>
      </c>
      <c r="P183" s="9">
        <f t="shared" si="16"/>
        <v>1</v>
      </c>
    </row>
    <row r="184" spans="1:16" x14ac:dyDescent="0.4">
      <c r="A184" s="9" t="s">
        <v>12</v>
      </c>
      <c r="B184" s="11">
        <v>5970.1369999999997</v>
      </c>
      <c r="D184" s="10"/>
      <c r="E184" s="10">
        <v>25270.633999999998</v>
      </c>
      <c r="F184" s="10">
        <f t="shared" si="12"/>
        <v>0.59701369999999998</v>
      </c>
      <c r="G184" s="10"/>
      <c r="H184" s="10"/>
      <c r="I184" s="10">
        <f>IF(E184&lt;&gt;0,E184*P184/10000)</f>
        <v>2.5270633999999998</v>
      </c>
      <c r="J184" s="9">
        <v>374.3827500000001</v>
      </c>
      <c r="K184" s="9">
        <v>374.5</v>
      </c>
      <c r="M184" s="9">
        <f t="shared" si="13"/>
        <v>1</v>
      </c>
      <c r="N184" s="9">
        <f t="shared" si="14"/>
        <v>1</v>
      </c>
      <c r="O184" s="9">
        <f t="shared" si="15"/>
        <v>1</v>
      </c>
      <c r="P184" s="9">
        <f t="shared" si="16"/>
        <v>1</v>
      </c>
    </row>
    <row r="185" spans="1:16" x14ac:dyDescent="0.4">
      <c r="A185" s="9" t="s">
        <v>11</v>
      </c>
      <c r="B185" s="11">
        <v>27193.432000000001</v>
      </c>
      <c r="C185" s="10"/>
      <c r="D185" s="10">
        <v>19961.474999999999</v>
      </c>
      <c r="E185" s="10"/>
      <c r="F185" s="10">
        <f t="shared" si="12"/>
        <v>2.7193432</v>
      </c>
      <c r="G185" s="10"/>
      <c r="H185" s="10">
        <f t="shared" ref="H185:H199" si="18">IF(D185&lt;&gt;0,D185*O185/10000)</f>
        <v>1.9961475</v>
      </c>
      <c r="I185" s="10"/>
      <c r="J185" s="9">
        <v>378.62028333333342</v>
      </c>
      <c r="K185" s="9">
        <v>379</v>
      </c>
      <c r="M185" s="9">
        <f t="shared" si="13"/>
        <v>1</v>
      </c>
      <c r="N185" s="9">
        <f t="shared" si="14"/>
        <v>1</v>
      </c>
      <c r="O185" s="9">
        <f t="shared" si="15"/>
        <v>1</v>
      </c>
      <c r="P185" s="9">
        <f t="shared" si="16"/>
        <v>1</v>
      </c>
    </row>
    <row r="186" spans="1:16" x14ac:dyDescent="0.4">
      <c r="A186" s="9" t="s">
        <v>11</v>
      </c>
      <c r="B186" s="11">
        <v>27193.432000000001</v>
      </c>
      <c r="C186" s="10"/>
      <c r="D186" s="10">
        <v>19961.474999999999</v>
      </c>
      <c r="E186" s="10"/>
      <c r="F186" s="10">
        <f t="shared" si="12"/>
        <v>2.7193432</v>
      </c>
      <c r="G186" s="10"/>
      <c r="H186" s="10">
        <f t="shared" si="18"/>
        <v>1.9961475</v>
      </c>
      <c r="I186" s="10"/>
      <c r="J186" s="9">
        <v>378.80381666666665</v>
      </c>
      <c r="K186" s="9">
        <v>379.5</v>
      </c>
      <c r="M186" s="9">
        <f t="shared" si="13"/>
        <v>1</v>
      </c>
      <c r="N186" s="9">
        <f t="shared" si="14"/>
        <v>1</v>
      </c>
      <c r="O186" s="9">
        <f t="shared" si="15"/>
        <v>1</v>
      </c>
      <c r="P186" s="9">
        <f t="shared" si="16"/>
        <v>1</v>
      </c>
    </row>
    <row r="187" spans="1:16" x14ac:dyDescent="0.4">
      <c r="A187" s="9" t="s">
        <v>11</v>
      </c>
      <c r="B187" s="11">
        <v>19968.513999999999</v>
      </c>
      <c r="C187" s="10"/>
      <c r="D187" s="10">
        <v>22470.383000000002</v>
      </c>
      <c r="E187" s="10"/>
      <c r="F187" s="10">
        <f t="shared" si="12"/>
        <v>1.9968513999999999</v>
      </c>
      <c r="G187" s="10"/>
      <c r="H187" s="10">
        <f t="shared" si="18"/>
        <v>2.2470383000000003</v>
      </c>
      <c r="I187" s="10"/>
      <c r="J187" s="9">
        <v>379.5813333333333</v>
      </c>
      <c r="K187" s="9">
        <v>380</v>
      </c>
      <c r="M187" s="9">
        <f t="shared" si="13"/>
        <v>1</v>
      </c>
      <c r="N187" s="9">
        <f t="shared" si="14"/>
        <v>1</v>
      </c>
      <c r="O187" s="9">
        <f t="shared" si="15"/>
        <v>1</v>
      </c>
      <c r="P187" s="9">
        <f t="shared" si="16"/>
        <v>1</v>
      </c>
    </row>
    <row r="188" spans="1:16" x14ac:dyDescent="0.4">
      <c r="A188" s="9" t="s">
        <v>11</v>
      </c>
      <c r="B188" s="11">
        <v>19968.513999999999</v>
      </c>
      <c r="C188" s="10"/>
      <c r="D188" s="10">
        <v>22470.383000000002</v>
      </c>
      <c r="E188" s="10"/>
      <c r="F188" s="10">
        <f t="shared" si="12"/>
        <v>1.9968513999999999</v>
      </c>
      <c r="G188" s="10"/>
      <c r="H188" s="10">
        <f t="shared" si="18"/>
        <v>2.2470383000000003</v>
      </c>
      <c r="I188" s="10"/>
      <c r="J188" s="9">
        <v>379.62815000000001</v>
      </c>
      <c r="K188" s="9">
        <v>380.5</v>
      </c>
      <c r="M188" s="9">
        <f t="shared" si="13"/>
        <v>1</v>
      </c>
      <c r="N188" s="9">
        <f t="shared" si="14"/>
        <v>1</v>
      </c>
      <c r="O188" s="9">
        <f t="shared" si="15"/>
        <v>1</v>
      </c>
      <c r="P188" s="9">
        <f t="shared" si="16"/>
        <v>1</v>
      </c>
    </row>
    <row r="189" spans="1:16" x14ac:dyDescent="0.4">
      <c r="A189" s="9" t="s">
        <v>11</v>
      </c>
      <c r="B189" s="11">
        <v>19968.513999999999</v>
      </c>
      <c r="C189" s="10"/>
      <c r="D189" s="10">
        <v>22470.383000000002</v>
      </c>
      <c r="E189" s="10"/>
      <c r="F189" s="10">
        <f t="shared" si="12"/>
        <v>1.9968513999999999</v>
      </c>
      <c r="G189" s="10"/>
      <c r="H189" s="10">
        <f t="shared" si="18"/>
        <v>2.2470383000000003</v>
      </c>
      <c r="I189" s="10"/>
      <c r="J189" s="9">
        <v>379.69593333333341</v>
      </c>
      <c r="K189" s="9">
        <v>381</v>
      </c>
      <c r="M189" s="9">
        <f t="shared" si="13"/>
        <v>1</v>
      </c>
      <c r="N189" s="9">
        <f t="shared" si="14"/>
        <v>1</v>
      </c>
      <c r="O189" s="9">
        <f t="shared" si="15"/>
        <v>1</v>
      </c>
      <c r="P189" s="9">
        <f t="shared" si="16"/>
        <v>1</v>
      </c>
    </row>
    <row r="190" spans="1:16" x14ac:dyDescent="0.4">
      <c r="A190" s="9" t="s">
        <v>11</v>
      </c>
      <c r="B190" s="11">
        <v>19968.513999999999</v>
      </c>
      <c r="C190" s="10"/>
      <c r="D190" s="10">
        <v>22470.383000000002</v>
      </c>
      <c r="E190" s="10"/>
      <c r="F190" s="10">
        <f t="shared" si="12"/>
        <v>1.9968513999999999</v>
      </c>
      <c r="G190" s="10"/>
      <c r="H190" s="10">
        <f t="shared" si="18"/>
        <v>2.2470383000000003</v>
      </c>
      <c r="I190" s="10"/>
      <c r="J190" s="9">
        <v>379.95746666666673</v>
      </c>
      <c r="K190" s="9">
        <v>381.5</v>
      </c>
      <c r="M190" s="9">
        <f t="shared" si="13"/>
        <v>1</v>
      </c>
      <c r="N190" s="9">
        <f t="shared" si="14"/>
        <v>1</v>
      </c>
      <c r="O190" s="9">
        <f t="shared" si="15"/>
        <v>1</v>
      </c>
      <c r="P190" s="9">
        <f t="shared" si="16"/>
        <v>1</v>
      </c>
    </row>
    <row r="191" spans="1:16" x14ac:dyDescent="0.4">
      <c r="A191" s="9" t="s">
        <v>11</v>
      </c>
      <c r="B191" s="11">
        <v>19954.927</v>
      </c>
      <c r="C191" s="10"/>
      <c r="D191" s="10">
        <v>22301.058000000001</v>
      </c>
      <c r="E191" s="10"/>
      <c r="F191" s="10">
        <f t="shared" si="12"/>
        <v>1.9954927</v>
      </c>
      <c r="G191" s="10"/>
      <c r="H191" s="10">
        <f t="shared" si="18"/>
        <v>2.2301058</v>
      </c>
      <c r="I191" s="10"/>
      <c r="J191" s="9">
        <v>383.07015000000001</v>
      </c>
      <c r="K191" s="9">
        <v>383.5</v>
      </c>
      <c r="M191" s="9">
        <f t="shared" si="13"/>
        <v>1</v>
      </c>
      <c r="N191" s="9">
        <f t="shared" si="14"/>
        <v>1</v>
      </c>
      <c r="O191" s="9">
        <f t="shared" si="15"/>
        <v>1</v>
      </c>
      <c r="P191" s="9">
        <f t="shared" si="16"/>
        <v>1</v>
      </c>
    </row>
    <row r="192" spans="1:16" x14ac:dyDescent="0.4">
      <c r="A192" s="9" t="s">
        <v>13</v>
      </c>
      <c r="B192" s="11">
        <v>8731.4619999999995</v>
      </c>
      <c r="C192" s="10"/>
      <c r="D192" s="10">
        <v>24314.911</v>
      </c>
      <c r="E192" s="10"/>
      <c r="F192" s="10">
        <f t="shared" si="12"/>
        <v>0.87314619999999998</v>
      </c>
      <c r="G192" s="10"/>
      <c r="H192" s="10">
        <f t="shared" si="18"/>
        <v>2.4314911000000001</v>
      </c>
      <c r="I192" s="10"/>
      <c r="J192" s="9">
        <v>389.98201666666671</v>
      </c>
      <c r="K192" s="9">
        <v>390</v>
      </c>
      <c r="M192" s="9">
        <f t="shared" si="13"/>
        <v>1</v>
      </c>
      <c r="N192" s="9">
        <f t="shared" si="14"/>
        <v>1</v>
      </c>
      <c r="O192" s="9">
        <f t="shared" si="15"/>
        <v>1</v>
      </c>
      <c r="P192" s="9">
        <f t="shared" si="16"/>
        <v>1</v>
      </c>
    </row>
    <row r="193" spans="1:16" x14ac:dyDescent="0.4">
      <c r="A193" s="9" t="s">
        <v>11</v>
      </c>
      <c r="B193" s="11">
        <v>22246.417000000001</v>
      </c>
      <c r="C193" s="10"/>
      <c r="D193" s="10">
        <v>17419.264999999999</v>
      </c>
      <c r="E193" s="10"/>
      <c r="F193" s="10">
        <f t="shared" si="12"/>
        <v>2.2246417000000003</v>
      </c>
      <c r="G193" s="10"/>
      <c r="H193" s="10">
        <f t="shared" si="18"/>
        <v>1.7419264999999999</v>
      </c>
      <c r="I193" s="10"/>
      <c r="J193" s="9">
        <v>396.10426666666672</v>
      </c>
      <c r="K193" s="9">
        <v>396.5</v>
      </c>
      <c r="M193" s="9">
        <f t="shared" si="13"/>
        <v>1</v>
      </c>
      <c r="N193" s="9">
        <f t="shared" si="14"/>
        <v>1</v>
      </c>
      <c r="O193" s="9">
        <f t="shared" si="15"/>
        <v>1</v>
      </c>
      <c r="P193" s="9">
        <f t="shared" si="16"/>
        <v>1</v>
      </c>
    </row>
    <row r="194" spans="1:16" x14ac:dyDescent="0.4">
      <c r="A194" s="9" t="s">
        <v>11</v>
      </c>
      <c r="B194" s="11">
        <v>22230.082999999999</v>
      </c>
      <c r="C194" s="10"/>
      <c r="D194" s="10">
        <v>17419.696</v>
      </c>
      <c r="E194" s="10"/>
      <c r="F194" s="10">
        <f t="shared" si="12"/>
        <v>2.2230083</v>
      </c>
      <c r="G194" s="10"/>
      <c r="H194" s="10">
        <f t="shared" si="18"/>
        <v>1.7419696</v>
      </c>
      <c r="I194" s="10"/>
      <c r="J194" s="9">
        <v>396.16153333333341</v>
      </c>
      <c r="K194" s="9">
        <v>397</v>
      </c>
      <c r="M194" s="9">
        <f t="shared" si="13"/>
        <v>1</v>
      </c>
      <c r="N194" s="9">
        <f t="shared" si="14"/>
        <v>1</v>
      </c>
      <c r="O194" s="9">
        <f t="shared" si="15"/>
        <v>1</v>
      </c>
      <c r="P194" s="9">
        <f t="shared" si="16"/>
        <v>1</v>
      </c>
    </row>
    <row r="195" spans="1:16" x14ac:dyDescent="0.4">
      <c r="A195" s="9" t="s">
        <v>11</v>
      </c>
      <c r="B195" s="11">
        <v>18183.393</v>
      </c>
      <c r="C195" s="10"/>
      <c r="D195" s="10">
        <v>24684.120999999999</v>
      </c>
      <c r="E195" s="10"/>
      <c r="F195" s="10">
        <f t="shared" si="12"/>
        <v>1.8183393000000001</v>
      </c>
      <c r="G195" s="10"/>
      <c r="H195" s="10">
        <f t="shared" si="18"/>
        <v>2.4684121000000001</v>
      </c>
      <c r="I195" s="10"/>
      <c r="J195" s="9">
        <v>401.05028333333337</v>
      </c>
      <c r="K195" s="9">
        <v>401.5</v>
      </c>
      <c r="M195" s="9">
        <f t="shared" si="13"/>
        <v>1</v>
      </c>
      <c r="N195" s="9">
        <f t="shared" si="14"/>
        <v>1</v>
      </c>
      <c r="O195" s="9">
        <f t="shared" si="15"/>
        <v>1</v>
      </c>
      <c r="P195" s="9">
        <f t="shared" si="16"/>
        <v>1</v>
      </c>
    </row>
    <row r="196" spans="1:16" x14ac:dyDescent="0.4">
      <c r="A196" s="9" t="s">
        <v>11</v>
      </c>
      <c r="B196" s="11">
        <v>15529.875</v>
      </c>
      <c r="C196" s="10"/>
      <c r="D196" s="10">
        <v>22773.917000000001</v>
      </c>
      <c r="E196" s="10"/>
      <c r="F196" s="10">
        <f>B196*M196/10000</f>
        <v>1.5529875</v>
      </c>
      <c r="G196" s="10"/>
      <c r="H196" s="10">
        <f t="shared" si="18"/>
        <v>2.2773916999999999</v>
      </c>
      <c r="I196" s="10"/>
      <c r="J196" s="9">
        <v>401.34393333333333</v>
      </c>
      <c r="K196" s="9">
        <v>402</v>
      </c>
      <c r="M196" s="9">
        <f>IF(K196&gt;=J196,1,0)</f>
        <v>1</v>
      </c>
      <c r="N196" s="9">
        <f>IF(K196&gt;=J196,1,0)</f>
        <v>1</v>
      </c>
      <c r="O196" s="9">
        <f>IF(K196&gt;=J196,1,0)</f>
        <v>1</v>
      </c>
      <c r="P196" s="9">
        <f>IF(K196&gt;=J196,1,0)</f>
        <v>1</v>
      </c>
    </row>
    <row r="197" spans="1:16" x14ac:dyDescent="0.4">
      <c r="A197" s="9" t="s">
        <v>11</v>
      </c>
      <c r="B197" s="11">
        <v>1413.499</v>
      </c>
      <c r="C197" s="10"/>
      <c r="D197" s="10">
        <v>23992.131000000001</v>
      </c>
      <c r="E197" s="10"/>
      <c r="F197" s="10">
        <f>B197*M197/10000</f>
        <v>0</v>
      </c>
      <c r="G197" s="10"/>
      <c r="H197" s="10">
        <f t="shared" si="18"/>
        <v>0</v>
      </c>
      <c r="I197" s="10"/>
      <c r="J197" s="9">
        <v>401.40226666666661</v>
      </c>
      <c r="K197" s="9">
        <v>0</v>
      </c>
      <c r="M197" s="9">
        <f>IF(K197&gt;=J197,1,0)</f>
        <v>0</v>
      </c>
      <c r="N197" s="9">
        <f>IF(K197&gt;=J197,1,0)</f>
        <v>0</v>
      </c>
      <c r="O197" s="9">
        <f>IF(K197&gt;=J197,1,0)</f>
        <v>0</v>
      </c>
      <c r="P197" s="9">
        <f>IF(K197&gt;=J197,1,0)</f>
        <v>0</v>
      </c>
    </row>
    <row r="198" spans="1:16" x14ac:dyDescent="0.4">
      <c r="A198" s="9" t="s">
        <v>11</v>
      </c>
      <c r="B198" s="11">
        <v>59816.101999999999</v>
      </c>
      <c r="C198" s="10"/>
      <c r="D198" s="10">
        <v>8022.6710000000003</v>
      </c>
      <c r="E198" s="10"/>
      <c r="F198" s="10">
        <f>B198*M198/10000</f>
        <v>0</v>
      </c>
      <c r="G198" s="10"/>
      <c r="H198" s="10">
        <f t="shared" si="18"/>
        <v>0</v>
      </c>
      <c r="I198" s="10"/>
      <c r="J198" s="9">
        <v>401.61433333333332</v>
      </c>
      <c r="K198" s="9">
        <v>0</v>
      </c>
      <c r="M198" s="9">
        <f>IF(K198&gt;=J198,1,0)</f>
        <v>0</v>
      </c>
      <c r="N198" s="9">
        <f>IF(K198&gt;=J198,1,0)</f>
        <v>0</v>
      </c>
      <c r="O198" s="9">
        <f>IF(K198&gt;=J198,1,0)</f>
        <v>0</v>
      </c>
      <c r="P198" s="9">
        <f>IF(K198&gt;=J198,1,0)</f>
        <v>0</v>
      </c>
    </row>
    <row r="199" spans="1:16" x14ac:dyDescent="0.4">
      <c r="A199" s="9" t="s">
        <v>11</v>
      </c>
      <c r="B199" s="11">
        <v>2238.7330000000002</v>
      </c>
      <c r="C199" s="10"/>
      <c r="D199" s="10">
        <v>24074.983</v>
      </c>
      <c r="E199" s="10"/>
      <c r="F199" s="10">
        <f>B199*M199/10000</f>
        <v>0</v>
      </c>
      <c r="G199" s="10"/>
      <c r="H199" s="10">
        <f t="shared" si="18"/>
        <v>0</v>
      </c>
      <c r="I199" s="10"/>
      <c r="J199" s="9">
        <v>401.80246666666665</v>
      </c>
      <c r="K199" s="9">
        <v>0</v>
      </c>
      <c r="M199" s="9">
        <f>IF(K199&gt;=J199,1,0)</f>
        <v>0</v>
      </c>
      <c r="N199" s="9">
        <f>IF(K199&gt;=J199,1,0)</f>
        <v>0</v>
      </c>
      <c r="O199" s="9">
        <f>IF(K199&gt;=J199,1,0)</f>
        <v>0</v>
      </c>
      <c r="P199" s="9">
        <f>IF(K199&gt;=J199,1,0)</f>
        <v>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acro3">
                <anchor moveWithCells="1" sizeWithCells="1">
                  <from>
                    <xdr:col>13</xdr:col>
                    <xdr:colOff>95250</xdr:colOff>
                    <xdr:row>3</xdr:row>
                    <xdr:rowOff>49530</xdr:rowOff>
                  </from>
                  <to>
                    <xdr:col>15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Macro5">
                <anchor moveWithCells="1" sizeWithCells="1">
                  <from>
                    <xdr:col>13</xdr:col>
                    <xdr:colOff>76200</xdr:colOff>
                    <xdr:row>1</xdr:row>
                    <xdr:rowOff>0</xdr:rowOff>
                  </from>
                  <to>
                    <xdr:col>15</xdr:col>
                    <xdr:colOff>49530</xdr:colOff>
                    <xdr:row>2</xdr:row>
                    <xdr:rowOff>125730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Transformations</vt:lpstr>
      <vt:lpstr>Time Plot</vt:lpstr>
    </vt:vector>
  </TitlesOfParts>
  <Company>U.S.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lawrence.fulton</dc:creator>
  <cp:lastModifiedBy>Lawrence Fulton</cp:lastModifiedBy>
  <dcterms:created xsi:type="dcterms:W3CDTF">2007-03-29T14:51:22Z</dcterms:created>
  <dcterms:modified xsi:type="dcterms:W3CDTF">2020-02-16T23:55:14Z</dcterms:modified>
</cp:coreProperties>
</file>